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ales Analysis" sheetId="2" state="visible" r:id="rId2"/>
    <sheet name="Customer Analysis" sheetId="3" state="visible" r:id="rId3"/>
    <sheet name="Product Analysis" sheetId="4" state="visible" r:id="rId4"/>
    <sheet name="RFM Analysis" sheetId="5" state="visible" r:id="rId5"/>
    <sheet name="Data Dictionary" sheetId="6" state="visible" r:id="rId6"/>
    <sheet name="KPI Calcul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%"/>
    <numFmt numFmtId="167" formatCode="0.0"/>
    <numFmt numFmtId="168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55555"/>
      <sz val="9"/>
    </font>
    <font>
      <name val="Calibri"/>
      <b val="1"/>
      <color rgb="001E2229"/>
      <sz val="18"/>
    </font>
    <font>
      <name val="Calibri"/>
      <b val="1"/>
      <color rgb="001E2229"/>
      <sz val="12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1E2229"/>
        <bgColor rgb="001E2229"/>
      </patternFill>
    </fill>
    <fill>
      <patternFill patternType="solid">
        <fgColor rgb="00F4F6F9"/>
        <bgColor rgb="00F4F6F9"/>
      </patternFill>
    </fill>
    <fill>
      <patternFill patternType="solid">
        <fgColor rgb="00F9FAFC"/>
        <bgColor rgb="00F9FAF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166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5" fontId="6" fillId="0" borderId="1" pivotButton="0" quotePrefix="0" xfId="0"/>
    <xf numFmtId="166" fontId="6" fillId="0" borderId="1" applyAlignment="1" pivotButton="0" quotePrefix="0" xfId="0">
      <alignment horizontal="right"/>
    </xf>
    <xf numFmtId="3" fontId="6" fillId="0" borderId="1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165" fontId="6" fillId="4" borderId="1" pivotButton="0" quotePrefix="0" xfId="0"/>
    <xf numFmtId="166" fontId="6" fillId="4" borderId="1" applyAlignment="1" pivotButton="0" quotePrefix="0" xfId="0">
      <alignment horizontal="right"/>
    </xf>
    <xf numFmtId="3" fontId="6" fillId="4" borderId="1" pivotButton="0" quotePrefix="0" xfId="0"/>
    <xf numFmtId="0" fontId="7" fillId="5" borderId="1" pivotButton="0" quotePrefix="0" xfId="0"/>
    <xf numFmtId="165" fontId="7" fillId="5" borderId="1" pivotButton="0" quotePrefix="0" xfId="0"/>
    <xf numFmtId="166" fontId="7" fillId="5" borderId="1" pivotButton="0" quotePrefix="0" xfId="0"/>
    <xf numFmtId="3" fontId="7" fillId="5" borderId="1" pivotButton="0" quotePrefix="0" xfId="0"/>
    <xf numFmtId="166" fontId="6" fillId="0" borderId="1" pivotButton="0" quotePrefix="0" xfId="0"/>
    <xf numFmtId="166" fontId="6" fillId="4" borderId="1" pivotButton="0" quotePrefix="0" xfId="0"/>
    <xf numFmtId="0" fontId="7" fillId="0" borderId="0" pivotButton="0" quotePrefix="0" xfId="0"/>
    <xf numFmtId="0" fontId="5" fillId="2" borderId="0" pivotButton="0" quotePrefix="0" xfId="0"/>
    <xf numFmtId="0" fontId="7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7" fillId="4" borderId="1" pivotButton="0" quotePrefix="0" xfId="0"/>
    <xf numFmtId="3" fontId="0" fillId="4" borderId="1" pivotButton="0" quotePrefix="0" xfId="0"/>
    <xf numFmtId="166" fontId="0" fillId="4" borderId="1" pivotButton="0" quotePrefix="0" xfId="0"/>
    <xf numFmtId="165" fontId="0" fillId="4" borderId="1" pivotButton="0" quotePrefix="0" xfId="0"/>
    <xf numFmtId="167" fontId="0" fillId="4" borderId="1" pivotButton="0" quotePrefix="0" xfId="0"/>
    <xf numFmtId="168" fontId="0" fillId="4" borderId="1" pivotButton="0" quotePrefix="0" xfId="0"/>
    <xf numFmtId="167" fontId="7" fillId="5" borderId="1" pivotButton="0" quotePrefix="0" xfId="0"/>
    <xf numFmtId="168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 Performance (2022 - 2025)</a:t>
            </a:r>
          </a:p>
        </rich>
      </tx>
    </title>
    <plotArea>
      <lineChart>
        <grouping val="standard"/>
        <ser>
          <idx val="0"/>
          <order val="0"/>
          <tx>
            <strRef>
              <f>'Sales Analysis'!B3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 Analysis'!$A$4:$A$675</f>
            </numRef>
          </cat>
          <val>
            <numRef>
              <f>'Sales Analysis'!$B$4:$B$675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Contribution by RFM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'RFM Analysis'!D3</f>
            </strRef>
          </tx>
          <spPr>
            <a:ln>
              <a:prstDash val="solid"/>
            </a:ln>
          </spPr>
          <cat>
            <numRef>
              <f>'RFM Analysis'!$A$4:$A$10</f>
            </numRef>
          </cat>
          <val>
            <numRef>
              <f>'RFM Analysis'!$D$4:$D$10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22" customWidth="1" min="4" max="4"/>
    <col width="17" customWidth="1" min="5" max="5"/>
    <col width="20" customWidth="1" min="6" max="6"/>
    <col width="16" customWidth="1" min="7" max="7"/>
    <col width="21" customWidth="1" min="8" max="8"/>
  </cols>
  <sheetData>
    <row r="1" ht="24" customHeight="1">
      <c r="A1" s="1" t="inlineStr">
        <is>
          <t xml:space="preserve">  VEYRA E-COMMERCE ENTERPRISE — EXECUTIVE DASHBOARD</t>
        </is>
      </c>
    </row>
    <row r="2" ht="24" customHeight="1"/>
    <row r="3"/>
    <row r="4">
      <c r="B4" s="2" t="inlineStr">
        <is>
          <t>TOTAL REVENUE</t>
        </is>
      </c>
      <c r="D4" s="2" t="inlineStr">
        <is>
          <t>TOTAL PROFIT</t>
        </is>
      </c>
      <c r="F4" s="2" t="inlineStr">
        <is>
          <t>TOTAL ORDERS</t>
        </is>
      </c>
      <c r="G4" s="2" t="inlineStr">
        <is>
          <t>CUSTOMERS</t>
        </is>
      </c>
      <c r="H4" s="2" t="inlineStr">
        <is>
          <t>AVG ORDER VALUE</t>
        </is>
      </c>
    </row>
    <row r="5">
      <c r="B5" s="3" t="n">
        <v>941630500.9399999</v>
      </c>
      <c r="D5" s="3" t="n">
        <v>371914009.55</v>
      </c>
      <c r="F5" s="4" t="n">
        <v>500000</v>
      </c>
      <c r="G5" s="4" t="n">
        <v>100000</v>
      </c>
      <c r="H5" s="5" t="n">
        <v>1883.26100188</v>
      </c>
    </row>
    <row r="6"/>
    <row r="7">
      <c r="B7" s="2" t="inlineStr">
        <is>
          <t>PROFIT MARGIN</t>
        </is>
      </c>
      <c r="D7" s="2" t="inlineStr">
        <is>
          <t>RETURN RATE</t>
        </is>
      </c>
      <c r="F7" s="2" t="inlineStr">
        <is>
          <t>REPEAT CUSTOMER %</t>
        </is>
      </c>
      <c r="G7" s="2" t="inlineStr">
        <is>
          <t>TIME HORIZON</t>
        </is>
      </c>
      <c r="H7" s="2" t="inlineStr">
        <is>
          <t>DATABASE ENGINE</t>
        </is>
      </c>
    </row>
    <row r="8">
      <c r="B8" s="6" t="n">
        <v>0.394968099672568</v>
      </c>
      <c r="D8" s="6" t="n">
        <v>0.1299784805732291</v>
      </c>
      <c r="F8" s="6" t="n">
        <v>0.59718</v>
      </c>
      <c r="G8" s="7" t="inlineStr">
        <is>
          <t>2022 - 2025</t>
        </is>
      </c>
      <c r="H8" s="7" t="inlineStr">
        <is>
          <t>SQL Server DW</t>
        </is>
      </c>
    </row>
    <row r="9"/>
    <row r="10">
      <c r="A10" s="8" t="inlineStr">
        <is>
          <t>Performance by Product Category (Summarized from DW)</t>
        </is>
      </c>
    </row>
    <row r="11">
      <c r="A11" s="9" t="inlineStr">
        <is>
          <t>Category ID</t>
        </is>
      </c>
      <c r="B11" s="10" t="inlineStr">
        <is>
          <t>Category Name</t>
        </is>
      </c>
      <c r="C11" s="11" t="inlineStr">
        <is>
          <t>Total Revenue</t>
        </is>
      </c>
      <c r="D11" s="11" t="inlineStr">
        <is>
          <t>Total Profit</t>
        </is>
      </c>
      <c r="E11" s="9" t="inlineStr">
        <is>
          <t>Gross Margin %</t>
        </is>
      </c>
      <c r="F11" s="11" t="inlineStr">
        <is>
          <t>Units Sold</t>
        </is>
      </c>
      <c r="G11" s="9" t="inlineStr">
        <is>
          <t>Return Rate %</t>
        </is>
      </c>
    </row>
    <row r="12">
      <c r="A12" s="12" t="n">
        <v>1</v>
      </c>
      <c r="B12" s="13" t="inlineStr">
        <is>
          <t>Electronics</t>
        </is>
      </c>
      <c r="C12" s="14" t="n">
        <v>345734514.37</v>
      </c>
      <c r="D12" s="14" t="n">
        <v>84154554.3</v>
      </c>
      <c r="E12" s="15">
        <f>IFERROR(D12/C12, 0)</f>
        <v/>
      </c>
      <c r="F12" s="16" t="n">
        <v>533936</v>
      </c>
      <c r="G12" s="15" t="n">
        <v>0.09</v>
      </c>
    </row>
    <row r="13">
      <c r="A13" s="17" t="n">
        <v>2</v>
      </c>
      <c r="B13" s="18" t="inlineStr">
        <is>
          <t>Fashion</t>
        </is>
      </c>
      <c r="C13" s="19" t="n">
        <v>151336336.43</v>
      </c>
      <c r="D13" s="19" t="n">
        <v>86882112.27</v>
      </c>
      <c r="E13" s="20">
        <f>IFERROR(D13/C13, 0)</f>
        <v/>
      </c>
      <c r="F13" s="21" t="n">
        <v>652340</v>
      </c>
      <c r="G13" s="20" t="n">
        <v>0.19</v>
      </c>
    </row>
    <row r="14">
      <c r="A14" s="12" t="n">
        <v>3</v>
      </c>
      <c r="B14" s="13" t="inlineStr">
        <is>
          <t>Home &amp; Kitchen</t>
        </is>
      </c>
      <c r="C14" s="14" t="n">
        <v>139054476.48</v>
      </c>
      <c r="D14" s="14" t="n">
        <v>62433725.08</v>
      </c>
      <c r="E14" s="15">
        <f>IFERROR(D14/C14, 0)</f>
        <v/>
      </c>
      <c r="F14" s="16" t="n">
        <v>414765</v>
      </c>
      <c r="G14" s="15" t="n">
        <v>0.07000000000000001</v>
      </c>
    </row>
    <row r="15">
      <c r="A15" s="17" t="n">
        <v>9</v>
      </c>
      <c r="B15" s="18" t="inlineStr">
        <is>
          <t>Furniture</t>
        </is>
      </c>
      <c r="C15" s="19" t="n">
        <v>95877133.93000001</v>
      </c>
      <c r="D15" s="19" t="n">
        <v>37619822.97</v>
      </c>
      <c r="E15" s="20">
        <f>IFERROR(D15/C15, 0)</f>
        <v/>
      </c>
      <c r="F15" s="21" t="n">
        <v>88600</v>
      </c>
      <c r="G15" s="20" t="n">
        <v>0.06</v>
      </c>
    </row>
    <row r="16">
      <c r="A16" s="12" t="n">
        <v>5</v>
      </c>
      <c r="B16" s="13" t="inlineStr">
        <is>
          <t>Sports &amp; Fitness</t>
        </is>
      </c>
      <c r="C16" s="14" t="n">
        <v>90070202.84999999</v>
      </c>
      <c r="D16" s="14" t="n">
        <v>34755836.45</v>
      </c>
      <c r="E16" s="15">
        <f>IFERROR(D16/C16, 0)</f>
        <v/>
      </c>
      <c r="F16" s="16" t="n">
        <v>237162</v>
      </c>
      <c r="G16" s="15" t="n">
        <v>0.08</v>
      </c>
    </row>
    <row r="17">
      <c r="A17" s="17" t="n">
        <v>4</v>
      </c>
      <c r="B17" s="18" t="inlineStr">
        <is>
          <t>Beauty</t>
        </is>
      </c>
      <c r="C17" s="19" t="n">
        <v>64066873.59</v>
      </c>
      <c r="D17" s="19" t="n">
        <v>40445226.66</v>
      </c>
      <c r="E17" s="20">
        <f>IFERROR(D17/C17, 0)</f>
        <v/>
      </c>
      <c r="F17" s="21" t="n">
        <v>355683</v>
      </c>
      <c r="G17" s="20" t="n">
        <v>0.04</v>
      </c>
    </row>
    <row r="18">
      <c r="A18" s="12" t="n">
        <v>8</v>
      </c>
      <c r="B18" s="13" t="inlineStr">
        <is>
          <t>Accessories</t>
        </is>
      </c>
      <c r="C18" s="14" t="n">
        <v>25251624.55</v>
      </c>
      <c r="D18" s="14" t="n">
        <v>14140367.51</v>
      </c>
      <c r="E18" s="15">
        <f>IFERROR(D18/C18, 0)</f>
        <v/>
      </c>
      <c r="F18" s="16" t="n">
        <v>146949</v>
      </c>
      <c r="G18" s="15" t="n">
        <v>0.08</v>
      </c>
    </row>
    <row r="19">
      <c r="A19" s="17" t="n">
        <v>10</v>
      </c>
      <c r="B19" s="18" t="inlineStr">
        <is>
          <t>Toys</t>
        </is>
      </c>
      <c r="C19" s="19" t="n">
        <v>16753458.93</v>
      </c>
      <c r="D19" s="19" t="n">
        <v>7908988.34</v>
      </c>
      <c r="E19" s="20">
        <f>IFERROR(D19/C19, 0)</f>
        <v/>
      </c>
      <c r="F19" s="21" t="n">
        <v>147799</v>
      </c>
      <c r="G19" s="20" t="n">
        <v>0.06</v>
      </c>
    </row>
    <row r="20">
      <c r="A20" s="12" t="n">
        <v>7</v>
      </c>
      <c r="B20" s="13" t="inlineStr">
        <is>
          <t>Books</t>
        </is>
      </c>
      <c r="C20" s="14" t="n">
        <v>7976673.61</v>
      </c>
      <c r="D20" s="14" t="n">
        <v>2855461.93</v>
      </c>
      <c r="E20" s="15">
        <f>IFERROR(D20/C20, 0)</f>
        <v/>
      </c>
      <c r="F20" s="16" t="n">
        <v>177917</v>
      </c>
      <c r="G20" s="15" t="n">
        <v>0.04</v>
      </c>
    </row>
    <row r="21">
      <c r="A21" s="17" t="n">
        <v>6</v>
      </c>
      <c r="B21" s="18" t="inlineStr">
        <is>
          <t>Grocery</t>
        </is>
      </c>
      <c r="C21" s="19" t="n">
        <v>5509206.2</v>
      </c>
      <c r="D21" s="19" t="n">
        <v>717914.04</v>
      </c>
      <c r="E21" s="20">
        <f>IFERROR(D21/C21, 0)</f>
        <v/>
      </c>
      <c r="F21" s="21" t="n">
        <v>207293</v>
      </c>
      <c r="G21" s="20" t="n">
        <v>0.02</v>
      </c>
    </row>
    <row r="22">
      <c r="A22" s="22" t="inlineStr"/>
      <c r="B22" s="22" t="inlineStr">
        <is>
          <t>TOTAL / AVERAGE</t>
        </is>
      </c>
      <c r="C22" s="23">
        <f>SUM(C12:C21)</f>
        <v/>
      </c>
      <c r="D22" s="23">
        <f>SUM(D12:D21)</f>
        <v/>
      </c>
      <c r="E22" s="24">
        <f>IFERROR(D22/C22, 0)</f>
        <v/>
      </c>
      <c r="F22" s="25">
        <f>SUM(F12:F21)</f>
        <v/>
      </c>
      <c r="G22" s="24">
        <f>AVERAGE(G12:G21)</f>
        <v/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7" customWidth="1" min="4" max="4"/>
    <col width="15" customWidth="1" min="5" max="5"/>
    <col width="13" customWidth="1" min="6" max="6"/>
  </cols>
  <sheetData>
    <row r="1">
      <c r="A1" s="8" t="inlineStr">
        <is>
          <t>Monthly Revenue &amp; Profit Trends (2022 - 2025)</t>
        </is>
      </c>
    </row>
    <row r="2"/>
    <row r="3">
      <c r="A3" s="9" t="inlineStr">
        <is>
          <t>Year-Month</t>
        </is>
      </c>
      <c r="B3" s="11" t="inlineStr">
        <is>
          <t>Total Revenue</t>
        </is>
      </c>
      <c r="C3" s="11" t="inlineStr">
        <is>
          <t>Total Profit</t>
        </is>
      </c>
      <c r="D3" s="11" t="inlineStr">
        <is>
          <t>Gross Margin %</t>
        </is>
      </c>
      <c r="E3" s="11" t="inlineStr">
        <is>
          <t>MoM Growth %</t>
        </is>
      </c>
      <c r="F3" s="11" t="inlineStr">
        <is>
          <t>Units Sold</t>
        </is>
      </c>
    </row>
    <row r="4">
      <c r="A4" s="12" t="inlineStr">
        <is>
          <t>1970-01</t>
        </is>
      </c>
      <c r="B4" s="14" t="n">
        <v>221559.9</v>
      </c>
      <c r="C4" s="14" t="n">
        <v>81789.62</v>
      </c>
      <c r="D4" s="26">
        <f>IFERROR(C4/B4, 0)</f>
        <v/>
      </c>
      <c r="E4" s="13" t="inlineStr">
        <is>
          <t>-</t>
        </is>
      </c>
      <c r="F4" s="16" t="n">
        <v>669</v>
      </c>
    </row>
    <row r="5">
      <c r="A5" s="17" t="inlineStr">
        <is>
          <t>1970-02</t>
        </is>
      </c>
      <c r="B5" s="19" t="n">
        <v>526830.5600000001</v>
      </c>
      <c r="C5" s="19" t="n">
        <v>208897.34</v>
      </c>
      <c r="D5" s="27">
        <f>IFERROR(C5/B5, 0)</f>
        <v/>
      </c>
      <c r="E5" s="27">
        <f>IFERROR((B5-B4)/B4, 0)</f>
        <v/>
      </c>
      <c r="F5" s="21" t="n">
        <v>1621</v>
      </c>
    </row>
    <row r="6">
      <c r="A6" s="12" t="inlineStr">
        <is>
          <t>1970-03</t>
        </is>
      </c>
      <c r="B6" s="14" t="n">
        <v>543908.41</v>
      </c>
      <c r="C6" s="14" t="n">
        <v>216413.25</v>
      </c>
      <c r="D6" s="26">
        <f>IFERROR(C6/B6, 0)</f>
        <v/>
      </c>
      <c r="E6" s="26">
        <f>IFERROR((B6-B5)/B5, 0)</f>
        <v/>
      </c>
      <c r="F6" s="16" t="n">
        <v>1747</v>
      </c>
    </row>
    <row r="7">
      <c r="A7" s="17" t="inlineStr">
        <is>
          <t>1970-04</t>
        </is>
      </c>
      <c r="B7" s="19" t="n">
        <v>608323.29</v>
      </c>
      <c r="C7" s="19" t="n">
        <v>246028.68</v>
      </c>
      <c r="D7" s="27">
        <f>IFERROR(C7/B7, 0)</f>
        <v/>
      </c>
      <c r="E7" s="27">
        <f>IFERROR((B7-B6)/B6, 0)</f>
        <v/>
      </c>
      <c r="F7" s="21" t="n">
        <v>1830</v>
      </c>
    </row>
    <row r="8">
      <c r="A8" s="12" t="inlineStr">
        <is>
          <t>1970-05</t>
        </is>
      </c>
      <c r="B8" s="14" t="n">
        <v>554164.36</v>
      </c>
      <c r="C8" s="14" t="n">
        <v>225697.11</v>
      </c>
      <c r="D8" s="26">
        <f>IFERROR(C8/B8, 0)</f>
        <v/>
      </c>
      <c r="E8" s="26">
        <f>IFERROR((B8-B7)/B7, 0)</f>
        <v/>
      </c>
      <c r="F8" s="16" t="n">
        <v>1825</v>
      </c>
    </row>
    <row r="9">
      <c r="A9" s="17" t="inlineStr">
        <is>
          <t>1970-06</t>
        </is>
      </c>
      <c r="B9" s="19" t="n">
        <v>609062.53</v>
      </c>
      <c r="C9" s="19" t="n">
        <v>243954.01</v>
      </c>
      <c r="D9" s="27">
        <f>IFERROR(C9/B9, 0)</f>
        <v/>
      </c>
      <c r="E9" s="27">
        <f>IFERROR((B9-B8)/B8, 0)</f>
        <v/>
      </c>
      <c r="F9" s="21" t="n">
        <v>1946</v>
      </c>
    </row>
    <row r="10">
      <c r="A10" s="12" t="inlineStr">
        <is>
          <t>1970-07</t>
        </is>
      </c>
      <c r="B10" s="14" t="n">
        <v>604125.1800000001</v>
      </c>
      <c r="C10" s="14" t="n">
        <v>239296.5</v>
      </c>
      <c r="D10" s="26">
        <f>IFERROR(C10/B10, 0)</f>
        <v/>
      </c>
      <c r="E10" s="26">
        <f>IFERROR((B10-B9)/B9, 0)</f>
        <v/>
      </c>
      <c r="F10" s="16" t="n">
        <v>1906</v>
      </c>
    </row>
    <row r="11">
      <c r="A11" s="17" t="inlineStr">
        <is>
          <t>1970-08</t>
        </is>
      </c>
      <c r="B11" s="19" t="n">
        <v>668082</v>
      </c>
      <c r="C11" s="19" t="n">
        <v>262266.62</v>
      </c>
      <c r="D11" s="27">
        <f>IFERROR(C11/B11, 0)</f>
        <v/>
      </c>
      <c r="E11" s="27">
        <f>IFERROR((B11-B10)/B10, 0)</f>
        <v/>
      </c>
      <c r="F11" s="21" t="n">
        <v>2133</v>
      </c>
    </row>
    <row r="12">
      <c r="A12" s="12" t="inlineStr">
        <is>
          <t>1970-09</t>
        </is>
      </c>
      <c r="B12" s="14" t="n">
        <v>603174.23</v>
      </c>
      <c r="C12" s="14" t="n">
        <v>239235.66</v>
      </c>
      <c r="D12" s="26">
        <f>IFERROR(C12/B12, 0)</f>
        <v/>
      </c>
      <c r="E12" s="26">
        <f>IFERROR((B12-B11)/B11, 0)</f>
        <v/>
      </c>
      <c r="F12" s="16" t="n">
        <v>1893</v>
      </c>
    </row>
    <row r="13">
      <c r="A13" s="17" t="inlineStr">
        <is>
          <t>1970-10</t>
        </is>
      </c>
      <c r="B13" s="19" t="n">
        <v>622070.73</v>
      </c>
      <c r="C13" s="19" t="n">
        <v>245342.2</v>
      </c>
      <c r="D13" s="27">
        <f>IFERROR(C13/B13, 0)</f>
        <v/>
      </c>
      <c r="E13" s="27">
        <f>IFERROR((B13-B12)/B12, 0)</f>
        <v/>
      </c>
      <c r="F13" s="21" t="n">
        <v>1964</v>
      </c>
    </row>
    <row r="14">
      <c r="A14" s="12" t="inlineStr">
        <is>
          <t>1970-11</t>
        </is>
      </c>
      <c r="B14" s="14" t="n">
        <v>627441.12</v>
      </c>
      <c r="C14" s="14" t="n">
        <v>250683.4</v>
      </c>
      <c r="D14" s="26">
        <f>IFERROR(C14/B14, 0)</f>
        <v/>
      </c>
      <c r="E14" s="26">
        <f>IFERROR((B14-B13)/B13, 0)</f>
        <v/>
      </c>
      <c r="F14" s="16" t="n">
        <v>2055</v>
      </c>
    </row>
    <row r="15">
      <c r="A15" s="17" t="inlineStr">
        <is>
          <t>1970-12</t>
        </is>
      </c>
      <c r="B15" s="19" t="n">
        <v>542552.3100000001</v>
      </c>
      <c r="C15" s="19" t="n">
        <v>212857.52</v>
      </c>
      <c r="D15" s="27">
        <f>IFERROR(C15/B15, 0)</f>
        <v/>
      </c>
      <c r="E15" s="27">
        <f>IFERROR((B15-B14)/B14, 0)</f>
        <v/>
      </c>
      <c r="F15" s="21" t="n">
        <v>1720</v>
      </c>
    </row>
    <row r="16">
      <c r="A16" s="12" t="inlineStr">
        <is>
          <t>1971-01</t>
        </is>
      </c>
      <c r="B16" s="14" t="n">
        <v>582332.9300000001</v>
      </c>
      <c r="C16" s="14" t="n">
        <v>228094.93</v>
      </c>
      <c r="D16" s="26">
        <f>IFERROR(C16/B16, 0)</f>
        <v/>
      </c>
      <c r="E16" s="26">
        <f>IFERROR((B16-B15)/B15, 0)</f>
        <v/>
      </c>
      <c r="F16" s="16" t="n">
        <v>1839</v>
      </c>
    </row>
    <row r="17">
      <c r="A17" s="17" t="inlineStr">
        <is>
          <t>1971-02</t>
        </is>
      </c>
      <c r="B17" s="19" t="n">
        <v>565658.3</v>
      </c>
      <c r="C17" s="19" t="n">
        <v>223152.26</v>
      </c>
      <c r="D17" s="27">
        <f>IFERROR(C17/B17, 0)</f>
        <v/>
      </c>
      <c r="E17" s="27">
        <f>IFERROR((B17-B16)/B16, 0)</f>
        <v/>
      </c>
      <c r="F17" s="21" t="n">
        <v>1726</v>
      </c>
    </row>
    <row r="18">
      <c r="A18" s="12" t="inlineStr">
        <is>
          <t>1971-03</t>
        </is>
      </c>
      <c r="B18" s="14" t="n">
        <v>686968.01</v>
      </c>
      <c r="C18" s="14" t="n">
        <v>264977.12</v>
      </c>
      <c r="D18" s="26">
        <f>IFERROR(C18/B18, 0)</f>
        <v/>
      </c>
      <c r="E18" s="26">
        <f>IFERROR((B18-B17)/B17, 0)</f>
        <v/>
      </c>
      <c r="F18" s="16" t="n">
        <v>2096</v>
      </c>
    </row>
    <row r="19">
      <c r="A19" s="17" t="inlineStr">
        <is>
          <t>1971-04</t>
        </is>
      </c>
      <c r="B19" s="19" t="n">
        <v>582560.77</v>
      </c>
      <c r="C19" s="19" t="n">
        <v>222615.24</v>
      </c>
      <c r="D19" s="27">
        <f>IFERROR(C19/B19, 0)</f>
        <v/>
      </c>
      <c r="E19" s="27">
        <f>IFERROR((B19-B18)/B18, 0)</f>
        <v/>
      </c>
      <c r="F19" s="21" t="n">
        <v>1841</v>
      </c>
    </row>
    <row r="20">
      <c r="A20" s="12" t="inlineStr">
        <is>
          <t>1971-05</t>
        </is>
      </c>
      <c r="B20" s="14" t="n">
        <v>670524.12</v>
      </c>
      <c r="C20" s="14" t="n">
        <v>261748.11</v>
      </c>
      <c r="D20" s="26">
        <f>IFERROR(C20/B20, 0)</f>
        <v/>
      </c>
      <c r="E20" s="26">
        <f>IFERROR((B20-B19)/B19, 0)</f>
        <v/>
      </c>
      <c r="F20" s="16" t="n">
        <v>2040</v>
      </c>
    </row>
    <row r="21">
      <c r="A21" s="17" t="inlineStr">
        <is>
          <t>1971-06</t>
        </is>
      </c>
      <c r="B21" s="19" t="n">
        <v>667054.89</v>
      </c>
      <c r="C21" s="19" t="n">
        <v>262080.68</v>
      </c>
      <c r="D21" s="27">
        <f>IFERROR(C21/B21, 0)</f>
        <v/>
      </c>
      <c r="E21" s="27">
        <f>IFERROR((B21-B20)/B20, 0)</f>
        <v/>
      </c>
      <c r="F21" s="21" t="n">
        <v>2071</v>
      </c>
    </row>
    <row r="22">
      <c r="A22" s="12" t="inlineStr">
        <is>
          <t>1971-07</t>
        </is>
      </c>
      <c r="B22" s="14" t="n">
        <v>626417.08</v>
      </c>
      <c r="C22" s="14" t="n">
        <v>250330.88</v>
      </c>
      <c r="D22" s="26">
        <f>IFERROR(C22/B22, 0)</f>
        <v/>
      </c>
      <c r="E22" s="26">
        <f>IFERROR((B22-B21)/B21, 0)</f>
        <v/>
      </c>
      <c r="F22" s="16" t="n">
        <v>2035</v>
      </c>
    </row>
    <row r="23">
      <c r="A23" s="17" t="inlineStr">
        <is>
          <t>1971-08</t>
        </is>
      </c>
      <c r="B23" s="19" t="n">
        <v>545046.21</v>
      </c>
      <c r="C23" s="19" t="n">
        <v>212856.74</v>
      </c>
      <c r="D23" s="27">
        <f>IFERROR(C23/B23, 0)</f>
        <v/>
      </c>
      <c r="E23" s="27">
        <f>IFERROR((B23-B22)/B22, 0)</f>
        <v/>
      </c>
      <c r="F23" s="21" t="n">
        <v>1779</v>
      </c>
    </row>
    <row r="24">
      <c r="A24" s="12" t="inlineStr">
        <is>
          <t>1971-09</t>
        </is>
      </c>
      <c r="B24" s="14" t="n">
        <v>582479.6800000001</v>
      </c>
      <c r="C24" s="14" t="n">
        <v>228374.39</v>
      </c>
      <c r="D24" s="26">
        <f>IFERROR(C24/B24, 0)</f>
        <v/>
      </c>
      <c r="E24" s="26">
        <f>IFERROR((B24-B23)/B23, 0)</f>
        <v/>
      </c>
      <c r="F24" s="16" t="n">
        <v>1906</v>
      </c>
    </row>
    <row r="25">
      <c r="A25" s="17" t="inlineStr">
        <is>
          <t>1971-10</t>
        </is>
      </c>
      <c r="B25" s="19" t="n">
        <v>555757.58</v>
      </c>
      <c r="C25" s="19" t="n">
        <v>217491.76</v>
      </c>
      <c r="D25" s="27">
        <f>IFERROR(C25/B25, 0)</f>
        <v/>
      </c>
      <c r="E25" s="27">
        <f>IFERROR((B25-B24)/B24, 0)</f>
        <v/>
      </c>
      <c r="F25" s="21" t="n">
        <v>1810</v>
      </c>
    </row>
    <row r="26">
      <c r="A26" s="12" t="inlineStr">
        <is>
          <t>1971-11</t>
        </is>
      </c>
      <c r="B26" s="14" t="n">
        <v>654321.6899999999</v>
      </c>
      <c r="C26" s="14" t="n">
        <v>259671.57</v>
      </c>
      <c r="D26" s="26">
        <f>IFERROR(C26/B26, 0)</f>
        <v/>
      </c>
      <c r="E26" s="26">
        <f>IFERROR((B26-B25)/B25, 0)</f>
        <v/>
      </c>
      <c r="F26" s="16" t="n">
        <v>2062</v>
      </c>
    </row>
    <row r="27">
      <c r="A27" s="17" t="inlineStr">
        <is>
          <t>1971-12</t>
        </is>
      </c>
      <c r="B27" s="19" t="n">
        <v>586172.89</v>
      </c>
      <c r="C27" s="19" t="n">
        <v>233675.19</v>
      </c>
      <c r="D27" s="27">
        <f>IFERROR(C27/B27, 0)</f>
        <v/>
      </c>
      <c r="E27" s="27">
        <f>IFERROR((B27-B26)/B26, 0)</f>
        <v/>
      </c>
      <c r="F27" s="21" t="n">
        <v>1869</v>
      </c>
    </row>
    <row r="28">
      <c r="A28" s="12" t="inlineStr">
        <is>
          <t>1972-01</t>
        </is>
      </c>
      <c r="B28" s="14" t="n">
        <v>534060.91</v>
      </c>
      <c r="C28" s="14" t="n">
        <v>202154.32</v>
      </c>
      <c r="D28" s="26">
        <f>IFERROR(C28/B28, 0)</f>
        <v/>
      </c>
      <c r="E28" s="26">
        <f>IFERROR((B28-B27)/B27, 0)</f>
        <v/>
      </c>
      <c r="F28" s="16" t="n">
        <v>1725</v>
      </c>
    </row>
    <row r="29">
      <c r="A29" s="17" t="inlineStr">
        <is>
          <t>1972-02</t>
        </is>
      </c>
      <c r="B29" s="19" t="n">
        <v>574225.5600000001</v>
      </c>
      <c r="C29" s="19" t="n">
        <v>225781.78</v>
      </c>
      <c r="D29" s="27">
        <f>IFERROR(C29/B29, 0)</f>
        <v/>
      </c>
      <c r="E29" s="27">
        <f>IFERROR((B29-B28)/B28, 0)</f>
        <v/>
      </c>
      <c r="F29" s="21" t="n">
        <v>1802</v>
      </c>
    </row>
    <row r="30">
      <c r="A30" s="12" t="inlineStr">
        <is>
          <t>1972-03</t>
        </is>
      </c>
      <c r="B30" s="14" t="n">
        <v>588458.9</v>
      </c>
      <c r="C30" s="14" t="n">
        <v>236299.87</v>
      </c>
      <c r="D30" s="26">
        <f>IFERROR(C30/B30, 0)</f>
        <v/>
      </c>
      <c r="E30" s="26">
        <f>IFERROR((B30-B29)/B29, 0)</f>
        <v/>
      </c>
      <c r="F30" s="16" t="n">
        <v>1884</v>
      </c>
    </row>
    <row r="31">
      <c r="A31" s="17" t="inlineStr">
        <is>
          <t>1972-04</t>
        </is>
      </c>
      <c r="B31" s="19" t="n">
        <v>588803.85</v>
      </c>
      <c r="C31" s="19" t="n">
        <v>234365.49</v>
      </c>
      <c r="D31" s="27">
        <f>IFERROR(C31/B31, 0)</f>
        <v/>
      </c>
      <c r="E31" s="27">
        <f>IFERROR((B31-B30)/B30, 0)</f>
        <v/>
      </c>
      <c r="F31" s="21" t="n">
        <v>1885</v>
      </c>
    </row>
    <row r="32">
      <c r="A32" s="12" t="inlineStr">
        <is>
          <t>1972-05</t>
        </is>
      </c>
      <c r="B32" s="14" t="n">
        <v>693383.1</v>
      </c>
      <c r="C32" s="14" t="n">
        <v>274232.37</v>
      </c>
      <c r="D32" s="26">
        <f>IFERROR(C32/B32, 0)</f>
        <v/>
      </c>
      <c r="E32" s="26">
        <f>IFERROR((B32-B31)/B31, 0)</f>
        <v/>
      </c>
      <c r="F32" s="16" t="n">
        <v>2127</v>
      </c>
    </row>
    <row r="33">
      <c r="A33" s="17" t="inlineStr">
        <is>
          <t>1972-06</t>
        </is>
      </c>
      <c r="B33" s="19" t="n">
        <v>645524.11</v>
      </c>
      <c r="C33" s="19" t="n">
        <v>259199.03</v>
      </c>
      <c r="D33" s="27">
        <f>IFERROR(C33/B33, 0)</f>
        <v/>
      </c>
      <c r="E33" s="27">
        <f>IFERROR((B33-B32)/B32, 0)</f>
        <v/>
      </c>
      <c r="F33" s="21" t="n">
        <v>1962</v>
      </c>
    </row>
    <row r="34">
      <c r="A34" s="12" t="inlineStr">
        <is>
          <t>1972-07</t>
        </is>
      </c>
      <c r="B34" s="14" t="n">
        <v>640612.62</v>
      </c>
      <c r="C34" s="14" t="n">
        <v>246918.63</v>
      </c>
      <c r="D34" s="26">
        <f>IFERROR(C34/B34, 0)</f>
        <v/>
      </c>
      <c r="E34" s="26">
        <f>IFERROR((B34-B33)/B33, 0)</f>
        <v/>
      </c>
      <c r="F34" s="16" t="n">
        <v>1867</v>
      </c>
    </row>
    <row r="35">
      <c r="A35" s="17" t="inlineStr">
        <is>
          <t>1972-08</t>
        </is>
      </c>
      <c r="B35" s="19" t="n">
        <v>585113.9399999999</v>
      </c>
      <c r="C35" s="19" t="n">
        <v>229093.89</v>
      </c>
      <c r="D35" s="27">
        <f>IFERROR(C35/B35, 0)</f>
        <v/>
      </c>
      <c r="E35" s="27">
        <f>IFERROR((B35-B34)/B34, 0)</f>
        <v/>
      </c>
      <c r="F35" s="21" t="n">
        <v>1902</v>
      </c>
    </row>
    <row r="36">
      <c r="A36" s="12" t="inlineStr">
        <is>
          <t>1972-09</t>
        </is>
      </c>
      <c r="B36" s="14" t="n">
        <v>638491.89</v>
      </c>
      <c r="C36" s="14" t="n">
        <v>257951.29</v>
      </c>
      <c r="D36" s="26">
        <f>IFERROR(C36/B36, 0)</f>
        <v/>
      </c>
      <c r="E36" s="26">
        <f>IFERROR((B36-B35)/B35, 0)</f>
        <v/>
      </c>
      <c r="F36" s="16" t="n">
        <v>2070</v>
      </c>
    </row>
    <row r="37">
      <c r="A37" s="17" t="inlineStr">
        <is>
          <t>1972-10</t>
        </is>
      </c>
      <c r="B37" s="19" t="n">
        <v>600856.77</v>
      </c>
      <c r="C37" s="19" t="n">
        <v>235415.75</v>
      </c>
      <c r="D37" s="27">
        <f>IFERROR(C37/B37, 0)</f>
        <v/>
      </c>
      <c r="E37" s="27">
        <f>IFERROR((B37-B36)/B36, 0)</f>
        <v/>
      </c>
      <c r="F37" s="21" t="n">
        <v>1920</v>
      </c>
    </row>
    <row r="38">
      <c r="A38" s="12" t="inlineStr">
        <is>
          <t>1972-11</t>
        </is>
      </c>
      <c r="B38" s="14" t="n">
        <v>612627.8100000001</v>
      </c>
      <c r="C38" s="14" t="n">
        <v>238179.23</v>
      </c>
      <c r="D38" s="26">
        <f>IFERROR(C38/B38, 0)</f>
        <v/>
      </c>
      <c r="E38" s="26">
        <f>IFERROR((B38-B37)/B37, 0)</f>
        <v/>
      </c>
      <c r="F38" s="16" t="n">
        <v>2006</v>
      </c>
    </row>
    <row r="39">
      <c r="A39" s="17" t="inlineStr">
        <is>
          <t>1972-12</t>
        </is>
      </c>
      <c r="B39" s="19" t="n">
        <v>638636.36</v>
      </c>
      <c r="C39" s="19" t="n">
        <v>252529.75</v>
      </c>
      <c r="D39" s="27">
        <f>IFERROR(C39/B39, 0)</f>
        <v/>
      </c>
      <c r="E39" s="27">
        <f>IFERROR((B39-B38)/B38, 0)</f>
        <v/>
      </c>
      <c r="F39" s="21" t="n">
        <v>1958</v>
      </c>
    </row>
    <row r="40">
      <c r="A40" s="12" t="inlineStr">
        <is>
          <t>1973-01</t>
        </is>
      </c>
      <c r="B40" s="14" t="n">
        <v>608713.6</v>
      </c>
      <c r="C40" s="14" t="n">
        <v>241580.28</v>
      </c>
      <c r="D40" s="26">
        <f>IFERROR(C40/B40, 0)</f>
        <v/>
      </c>
      <c r="E40" s="26">
        <f>IFERROR((B40-B39)/B39, 0)</f>
        <v/>
      </c>
      <c r="F40" s="16" t="n">
        <v>1970</v>
      </c>
    </row>
    <row r="41">
      <c r="A41" s="17" t="inlineStr">
        <is>
          <t>1973-02</t>
        </is>
      </c>
      <c r="B41" s="19" t="n">
        <v>539178.64</v>
      </c>
      <c r="C41" s="19" t="n">
        <v>215307.88</v>
      </c>
      <c r="D41" s="27">
        <f>IFERROR(C41/B41, 0)</f>
        <v/>
      </c>
      <c r="E41" s="27">
        <f>IFERROR((B41-B40)/B40, 0)</f>
        <v/>
      </c>
      <c r="F41" s="21" t="n">
        <v>1668</v>
      </c>
    </row>
    <row r="42">
      <c r="A42" s="12" t="inlineStr">
        <is>
          <t>1973-03</t>
        </is>
      </c>
      <c r="B42" s="14" t="n">
        <v>605029.63</v>
      </c>
      <c r="C42" s="14" t="n">
        <v>238587.53</v>
      </c>
      <c r="D42" s="26">
        <f>IFERROR(C42/B42, 0)</f>
        <v/>
      </c>
      <c r="E42" s="26">
        <f>IFERROR((B42-B41)/B41, 0)</f>
        <v/>
      </c>
      <c r="F42" s="16" t="n">
        <v>1893</v>
      </c>
    </row>
    <row r="43">
      <c r="A43" s="17" t="inlineStr">
        <is>
          <t>1973-04</t>
        </is>
      </c>
      <c r="B43" s="19" t="n">
        <v>582948.62</v>
      </c>
      <c r="C43" s="19" t="n">
        <v>235667.33</v>
      </c>
      <c r="D43" s="27">
        <f>IFERROR(C43/B43, 0)</f>
        <v/>
      </c>
      <c r="E43" s="27">
        <f>IFERROR((B43-B42)/B42, 0)</f>
        <v/>
      </c>
      <c r="F43" s="21" t="n">
        <v>1937</v>
      </c>
    </row>
    <row r="44">
      <c r="A44" s="12" t="inlineStr">
        <is>
          <t>1973-05</t>
        </is>
      </c>
      <c r="B44" s="14" t="n">
        <v>673014.03</v>
      </c>
      <c r="C44" s="14" t="n">
        <v>267952.87</v>
      </c>
      <c r="D44" s="26">
        <f>IFERROR(C44/B44, 0)</f>
        <v/>
      </c>
      <c r="E44" s="26">
        <f>IFERROR((B44-B43)/B43, 0)</f>
        <v/>
      </c>
      <c r="F44" s="16" t="n">
        <v>2047</v>
      </c>
    </row>
    <row r="45">
      <c r="A45" s="17" t="inlineStr">
        <is>
          <t>1973-06</t>
        </is>
      </c>
      <c r="B45" s="19" t="n">
        <v>574821.36</v>
      </c>
      <c r="C45" s="19" t="n">
        <v>222439.94</v>
      </c>
      <c r="D45" s="27">
        <f>IFERROR(C45/B45, 0)</f>
        <v/>
      </c>
      <c r="E45" s="27">
        <f>IFERROR((B45-B44)/B44, 0)</f>
        <v/>
      </c>
      <c r="F45" s="21" t="n">
        <v>1790</v>
      </c>
    </row>
    <row r="46">
      <c r="A46" s="12" t="inlineStr">
        <is>
          <t>1973-07</t>
        </is>
      </c>
      <c r="B46" s="14" t="n">
        <v>660492.28</v>
      </c>
      <c r="C46" s="14" t="n">
        <v>261393.31</v>
      </c>
      <c r="D46" s="26">
        <f>IFERROR(C46/B46, 0)</f>
        <v/>
      </c>
      <c r="E46" s="26">
        <f>IFERROR((B46-B45)/B45, 0)</f>
        <v/>
      </c>
      <c r="F46" s="16" t="n">
        <v>2034</v>
      </c>
    </row>
    <row r="47">
      <c r="A47" s="17" t="inlineStr">
        <is>
          <t>1973-08</t>
        </is>
      </c>
      <c r="B47" s="19" t="n">
        <v>666642.37</v>
      </c>
      <c r="C47" s="19" t="n">
        <v>270909.96</v>
      </c>
      <c r="D47" s="27">
        <f>IFERROR(C47/B47, 0)</f>
        <v/>
      </c>
      <c r="E47" s="27">
        <f>IFERROR((B47-B46)/B46, 0)</f>
        <v/>
      </c>
      <c r="F47" s="21" t="n">
        <v>2096</v>
      </c>
    </row>
    <row r="48">
      <c r="A48" s="12" t="inlineStr">
        <is>
          <t>1973-09</t>
        </is>
      </c>
      <c r="B48" s="14" t="n">
        <v>495601.91</v>
      </c>
      <c r="C48" s="14" t="n">
        <v>197147.6</v>
      </c>
      <c r="D48" s="26">
        <f>IFERROR(C48/B48, 0)</f>
        <v/>
      </c>
      <c r="E48" s="26">
        <f>IFERROR((B48-B47)/B47, 0)</f>
        <v/>
      </c>
      <c r="F48" s="16" t="n">
        <v>1549</v>
      </c>
    </row>
    <row r="49">
      <c r="A49" s="17" t="inlineStr">
        <is>
          <t>1973-10</t>
        </is>
      </c>
      <c r="B49" s="19" t="n">
        <v>485280.96</v>
      </c>
      <c r="C49" s="19" t="n">
        <v>191103.28</v>
      </c>
      <c r="D49" s="27">
        <f>IFERROR(C49/B49, 0)</f>
        <v/>
      </c>
      <c r="E49" s="27">
        <f>IFERROR((B49-B48)/B48, 0)</f>
        <v/>
      </c>
      <c r="F49" s="21" t="n">
        <v>1622</v>
      </c>
    </row>
    <row r="50">
      <c r="A50" s="12" t="inlineStr">
        <is>
          <t>1973-11</t>
        </is>
      </c>
      <c r="B50" s="14" t="n">
        <v>638974.02</v>
      </c>
      <c r="C50" s="14" t="n">
        <v>248548.48</v>
      </c>
      <c r="D50" s="26">
        <f>IFERROR(C50/B50, 0)</f>
        <v/>
      </c>
      <c r="E50" s="26">
        <f>IFERROR((B50-B49)/B49, 0)</f>
        <v/>
      </c>
      <c r="F50" s="16" t="n">
        <v>1959</v>
      </c>
    </row>
    <row r="51">
      <c r="A51" s="17" t="inlineStr">
        <is>
          <t>1973-12</t>
        </is>
      </c>
      <c r="B51" s="19" t="n">
        <v>587443.09</v>
      </c>
      <c r="C51" s="19" t="n">
        <v>235086.58</v>
      </c>
      <c r="D51" s="27">
        <f>IFERROR(C51/B51, 0)</f>
        <v/>
      </c>
      <c r="E51" s="27">
        <f>IFERROR((B51-B50)/B50, 0)</f>
        <v/>
      </c>
      <c r="F51" s="21" t="n">
        <v>1787</v>
      </c>
    </row>
    <row r="52">
      <c r="A52" s="12" t="inlineStr">
        <is>
          <t>1974-01</t>
        </is>
      </c>
      <c r="B52" s="14" t="n">
        <v>606870.47</v>
      </c>
      <c r="C52" s="14" t="n">
        <v>241098.08</v>
      </c>
      <c r="D52" s="26">
        <f>IFERROR(C52/B52, 0)</f>
        <v/>
      </c>
      <c r="E52" s="26">
        <f>IFERROR((B52-B51)/B51, 0)</f>
        <v/>
      </c>
      <c r="F52" s="16" t="n">
        <v>1854</v>
      </c>
    </row>
    <row r="53">
      <c r="A53" s="17" t="inlineStr">
        <is>
          <t>1974-02</t>
        </is>
      </c>
      <c r="B53" s="19" t="n">
        <v>634048.16</v>
      </c>
      <c r="C53" s="19" t="n">
        <v>246168.03</v>
      </c>
      <c r="D53" s="27">
        <f>IFERROR(C53/B53, 0)</f>
        <v/>
      </c>
      <c r="E53" s="27">
        <f>IFERROR((B53-B52)/B52, 0)</f>
        <v/>
      </c>
      <c r="F53" s="21" t="n">
        <v>1900</v>
      </c>
    </row>
    <row r="54">
      <c r="A54" s="12" t="inlineStr">
        <is>
          <t>1974-03</t>
        </is>
      </c>
      <c r="B54" s="14" t="n">
        <v>580945.96</v>
      </c>
      <c r="C54" s="14" t="n">
        <v>227310.8</v>
      </c>
      <c r="D54" s="26">
        <f>IFERROR(C54/B54, 0)</f>
        <v/>
      </c>
      <c r="E54" s="26">
        <f>IFERROR((B54-B53)/B53, 0)</f>
        <v/>
      </c>
      <c r="F54" s="16" t="n">
        <v>1795</v>
      </c>
    </row>
    <row r="55">
      <c r="A55" s="17" t="inlineStr">
        <is>
          <t>1974-04</t>
        </is>
      </c>
      <c r="B55" s="19" t="n">
        <v>585579.79</v>
      </c>
      <c r="C55" s="19" t="n">
        <v>229692.7</v>
      </c>
      <c r="D55" s="27">
        <f>IFERROR(C55/B55, 0)</f>
        <v/>
      </c>
      <c r="E55" s="27">
        <f>IFERROR((B55-B54)/B54, 0)</f>
        <v/>
      </c>
      <c r="F55" s="21" t="n">
        <v>1851</v>
      </c>
    </row>
    <row r="56">
      <c r="A56" s="12" t="inlineStr">
        <is>
          <t>1974-05</t>
        </is>
      </c>
      <c r="B56" s="14" t="n">
        <v>644555.83</v>
      </c>
      <c r="C56" s="14" t="n">
        <v>248662.83</v>
      </c>
      <c r="D56" s="26">
        <f>IFERROR(C56/B56, 0)</f>
        <v/>
      </c>
      <c r="E56" s="26">
        <f>IFERROR((B56-B55)/B55, 0)</f>
        <v/>
      </c>
      <c r="F56" s="16" t="n">
        <v>2008</v>
      </c>
    </row>
    <row r="57">
      <c r="A57" s="17" t="inlineStr">
        <is>
          <t>1974-06</t>
        </is>
      </c>
      <c r="B57" s="19" t="n">
        <v>619859.8199999999</v>
      </c>
      <c r="C57" s="19" t="n">
        <v>248168</v>
      </c>
      <c r="D57" s="27">
        <f>IFERROR(C57/B57, 0)</f>
        <v/>
      </c>
      <c r="E57" s="27">
        <f>IFERROR((B57-B56)/B56, 0)</f>
        <v/>
      </c>
      <c r="F57" s="21" t="n">
        <v>2010</v>
      </c>
    </row>
    <row r="58">
      <c r="A58" s="12" t="inlineStr">
        <is>
          <t>1974-07</t>
        </is>
      </c>
      <c r="B58" s="14" t="n">
        <v>613561.66</v>
      </c>
      <c r="C58" s="14" t="n">
        <v>243212.89</v>
      </c>
      <c r="D58" s="26">
        <f>IFERROR(C58/B58, 0)</f>
        <v/>
      </c>
      <c r="E58" s="26">
        <f>IFERROR((B58-B57)/B57, 0)</f>
        <v/>
      </c>
      <c r="F58" s="16" t="n">
        <v>1951</v>
      </c>
    </row>
    <row r="59">
      <c r="A59" s="17" t="inlineStr">
        <is>
          <t>1974-08</t>
        </is>
      </c>
      <c r="B59" s="19" t="n">
        <v>682922.96</v>
      </c>
      <c r="C59" s="19" t="n">
        <v>261256.02</v>
      </c>
      <c r="D59" s="27">
        <f>IFERROR(C59/B59, 0)</f>
        <v/>
      </c>
      <c r="E59" s="27">
        <f>IFERROR((B59-B58)/B58, 0)</f>
        <v/>
      </c>
      <c r="F59" s="21" t="n">
        <v>2091</v>
      </c>
    </row>
    <row r="60">
      <c r="A60" s="12" t="inlineStr">
        <is>
          <t>1974-09</t>
        </is>
      </c>
      <c r="B60" s="14" t="n">
        <v>630982.17</v>
      </c>
      <c r="C60" s="14" t="n">
        <v>248413.96</v>
      </c>
      <c r="D60" s="26">
        <f>IFERROR(C60/B60, 0)</f>
        <v/>
      </c>
      <c r="E60" s="26">
        <f>IFERROR((B60-B59)/B59, 0)</f>
        <v/>
      </c>
      <c r="F60" s="16" t="n">
        <v>1959</v>
      </c>
    </row>
    <row r="61">
      <c r="A61" s="17" t="inlineStr">
        <is>
          <t>1974-10</t>
        </is>
      </c>
      <c r="B61" s="19" t="n">
        <v>601801.61</v>
      </c>
      <c r="C61" s="19" t="n">
        <v>236710.43</v>
      </c>
      <c r="D61" s="27">
        <f>IFERROR(C61/B61, 0)</f>
        <v/>
      </c>
      <c r="E61" s="27">
        <f>IFERROR((B61-B60)/B60, 0)</f>
        <v/>
      </c>
      <c r="F61" s="21" t="n">
        <v>1865</v>
      </c>
    </row>
    <row r="62">
      <c r="A62" s="12" t="inlineStr">
        <is>
          <t>1974-11</t>
        </is>
      </c>
      <c r="B62" s="14" t="n">
        <v>549289.65</v>
      </c>
      <c r="C62" s="14" t="n">
        <v>218265.55</v>
      </c>
      <c r="D62" s="26">
        <f>IFERROR(C62/B62, 0)</f>
        <v/>
      </c>
      <c r="E62" s="26">
        <f>IFERROR((B62-B61)/B61, 0)</f>
        <v/>
      </c>
      <c r="F62" s="16" t="n">
        <v>1720</v>
      </c>
    </row>
    <row r="63">
      <c r="A63" s="17" t="inlineStr">
        <is>
          <t>1974-12</t>
        </is>
      </c>
      <c r="B63" s="19" t="n">
        <v>565655.92</v>
      </c>
      <c r="C63" s="19" t="n">
        <v>224825.16</v>
      </c>
      <c r="D63" s="27">
        <f>IFERROR(C63/B63, 0)</f>
        <v/>
      </c>
      <c r="E63" s="27">
        <f>IFERROR((B63-B62)/B62, 0)</f>
        <v/>
      </c>
      <c r="F63" s="21" t="n">
        <v>1814</v>
      </c>
    </row>
    <row r="64">
      <c r="A64" s="12" t="inlineStr">
        <is>
          <t>1975-01</t>
        </is>
      </c>
      <c r="B64" s="14" t="n">
        <v>614837.8199999999</v>
      </c>
      <c r="C64" s="14" t="n">
        <v>245442.9</v>
      </c>
      <c r="D64" s="26">
        <f>IFERROR(C64/B64, 0)</f>
        <v/>
      </c>
      <c r="E64" s="26">
        <f>IFERROR((B64-B63)/B63, 0)</f>
        <v/>
      </c>
      <c r="F64" s="16" t="n">
        <v>1900</v>
      </c>
    </row>
    <row r="65">
      <c r="A65" s="17" t="inlineStr">
        <is>
          <t>1975-02</t>
        </is>
      </c>
      <c r="B65" s="19" t="n">
        <v>573614.7</v>
      </c>
      <c r="C65" s="19" t="n">
        <v>227629.09</v>
      </c>
      <c r="D65" s="27">
        <f>IFERROR(C65/B65, 0)</f>
        <v/>
      </c>
      <c r="E65" s="27">
        <f>IFERROR((B65-B64)/B64, 0)</f>
        <v/>
      </c>
      <c r="F65" s="21" t="n">
        <v>1878</v>
      </c>
    </row>
    <row r="66">
      <c r="A66" s="12" t="inlineStr">
        <is>
          <t>1975-03</t>
        </is>
      </c>
      <c r="B66" s="14" t="n">
        <v>620424.61</v>
      </c>
      <c r="C66" s="14" t="n">
        <v>249813.11</v>
      </c>
      <c r="D66" s="26">
        <f>IFERROR(C66/B66, 0)</f>
        <v/>
      </c>
      <c r="E66" s="26">
        <f>IFERROR((B66-B65)/B65, 0)</f>
        <v/>
      </c>
      <c r="F66" s="16" t="n">
        <v>2024</v>
      </c>
    </row>
    <row r="67">
      <c r="A67" s="17" t="inlineStr">
        <is>
          <t>1975-04</t>
        </is>
      </c>
      <c r="B67" s="19" t="n">
        <v>638602.09</v>
      </c>
      <c r="C67" s="19" t="n">
        <v>252382.48</v>
      </c>
      <c r="D67" s="27">
        <f>IFERROR(C67/B67, 0)</f>
        <v/>
      </c>
      <c r="E67" s="27">
        <f>IFERROR((B67-B66)/B66, 0)</f>
        <v/>
      </c>
      <c r="F67" s="21" t="n">
        <v>2122</v>
      </c>
    </row>
    <row r="68">
      <c r="A68" s="12" t="inlineStr">
        <is>
          <t>1975-05</t>
        </is>
      </c>
      <c r="B68" s="14" t="n">
        <v>626643.16</v>
      </c>
      <c r="C68" s="14" t="n">
        <v>245695.46</v>
      </c>
      <c r="D68" s="26">
        <f>IFERROR(C68/B68, 0)</f>
        <v/>
      </c>
      <c r="E68" s="26">
        <f>IFERROR((B68-B67)/B67, 0)</f>
        <v/>
      </c>
      <c r="F68" s="16" t="n">
        <v>1966</v>
      </c>
    </row>
    <row r="69">
      <c r="A69" s="17" t="inlineStr">
        <is>
          <t>1975-06</t>
        </is>
      </c>
      <c r="B69" s="19" t="n">
        <v>541042.55</v>
      </c>
      <c r="C69" s="19" t="n">
        <v>215714.39</v>
      </c>
      <c r="D69" s="27">
        <f>IFERROR(C69/B69, 0)</f>
        <v/>
      </c>
      <c r="E69" s="27">
        <f>IFERROR((B69-B68)/B68, 0)</f>
        <v/>
      </c>
      <c r="F69" s="21" t="n">
        <v>1866</v>
      </c>
    </row>
    <row r="70">
      <c r="A70" s="12" t="inlineStr">
        <is>
          <t>1975-07</t>
        </is>
      </c>
      <c r="B70" s="14" t="n">
        <v>686626.45</v>
      </c>
      <c r="C70" s="14" t="n">
        <v>267190.99</v>
      </c>
      <c r="D70" s="26">
        <f>IFERROR(C70/B70, 0)</f>
        <v/>
      </c>
      <c r="E70" s="26">
        <f>IFERROR((B70-B69)/B69, 0)</f>
        <v/>
      </c>
      <c r="F70" s="16" t="n">
        <v>2167</v>
      </c>
    </row>
    <row r="71">
      <c r="A71" s="17" t="inlineStr">
        <is>
          <t>1975-08</t>
        </is>
      </c>
      <c r="B71" s="19" t="n">
        <v>688430.77</v>
      </c>
      <c r="C71" s="19" t="n">
        <v>279734.1</v>
      </c>
      <c r="D71" s="27">
        <f>IFERROR(C71/B71, 0)</f>
        <v/>
      </c>
      <c r="E71" s="27">
        <f>IFERROR((B71-B70)/B70, 0)</f>
        <v/>
      </c>
      <c r="F71" s="21" t="n">
        <v>2169</v>
      </c>
    </row>
    <row r="72">
      <c r="A72" s="12" t="inlineStr">
        <is>
          <t>1975-09</t>
        </is>
      </c>
      <c r="B72" s="14" t="n">
        <v>620472.13</v>
      </c>
      <c r="C72" s="14" t="n">
        <v>248560.95</v>
      </c>
      <c r="D72" s="26">
        <f>IFERROR(C72/B72, 0)</f>
        <v/>
      </c>
      <c r="E72" s="26">
        <f>IFERROR((B72-B71)/B71, 0)</f>
        <v/>
      </c>
      <c r="F72" s="16" t="n">
        <v>1984</v>
      </c>
    </row>
    <row r="73">
      <c r="A73" s="17" t="inlineStr">
        <is>
          <t>1975-10</t>
        </is>
      </c>
      <c r="B73" s="19" t="n">
        <v>643039.36</v>
      </c>
      <c r="C73" s="19" t="n">
        <v>251923.84</v>
      </c>
      <c r="D73" s="27">
        <f>IFERROR(C73/B73, 0)</f>
        <v/>
      </c>
      <c r="E73" s="27">
        <f>IFERROR((B73-B72)/B72, 0)</f>
        <v/>
      </c>
      <c r="F73" s="21" t="n">
        <v>2010</v>
      </c>
    </row>
    <row r="74">
      <c r="A74" s="12" t="inlineStr">
        <is>
          <t>1975-11</t>
        </is>
      </c>
      <c r="B74" s="14" t="n">
        <v>523341.98</v>
      </c>
      <c r="C74" s="14" t="n">
        <v>205523.16</v>
      </c>
      <c r="D74" s="26">
        <f>IFERROR(C74/B74, 0)</f>
        <v/>
      </c>
      <c r="E74" s="26">
        <f>IFERROR((B74-B73)/B73, 0)</f>
        <v/>
      </c>
      <c r="F74" s="16" t="n">
        <v>1656</v>
      </c>
    </row>
    <row r="75">
      <c r="A75" s="17" t="inlineStr">
        <is>
          <t>1975-12</t>
        </is>
      </c>
      <c r="B75" s="19" t="n">
        <v>668379.85</v>
      </c>
      <c r="C75" s="19" t="n">
        <v>267289.42</v>
      </c>
      <c r="D75" s="27">
        <f>IFERROR(C75/B75, 0)</f>
        <v/>
      </c>
      <c r="E75" s="27">
        <f>IFERROR((B75-B74)/B74, 0)</f>
        <v/>
      </c>
      <c r="F75" s="21" t="n">
        <v>2064</v>
      </c>
    </row>
    <row r="76">
      <c r="A76" s="12" t="inlineStr">
        <is>
          <t>1976-01</t>
        </is>
      </c>
      <c r="B76" s="14" t="n">
        <v>657794.51</v>
      </c>
      <c r="C76" s="14" t="n">
        <v>255706.41</v>
      </c>
      <c r="D76" s="26">
        <f>IFERROR(C76/B76, 0)</f>
        <v/>
      </c>
      <c r="E76" s="26">
        <f>IFERROR((B76-B75)/B75, 0)</f>
        <v/>
      </c>
      <c r="F76" s="16" t="n">
        <v>2115</v>
      </c>
    </row>
    <row r="77">
      <c r="A77" s="17" t="inlineStr">
        <is>
          <t>1976-02</t>
        </is>
      </c>
      <c r="B77" s="19" t="n">
        <v>531664.49</v>
      </c>
      <c r="C77" s="19" t="n">
        <v>214294.8</v>
      </c>
      <c r="D77" s="27">
        <f>IFERROR(C77/B77, 0)</f>
        <v/>
      </c>
      <c r="E77" s="27">
        <f>IFERROR((B77-B76)/B76, 0)</f>
        <v/>
      </c>
      <c r="F77" s="21" t="n">
        <v>1702</v>
      </c>
    </row>
    <row r="78">
      <c r="A78" s="12" t="inlineStr">
        <is>
          <t>1976-03</t>
        </is>
      </c>
      <c r="B78" s="14" t="n">
        <v>604073.65</v>
      </c>
      <c r="C78" s="14" t="n">
        <v>244213.74</v>
      </c>
      <c r="D78" s="26">
        <f>IFERROR(C78/B78, 0)</f>
        <v/>
      </c>
      <c r="E78" s="26">
        <f>IFERROR((B78-B77)/B77, 0)</f>
        <v/>
      </c>
      <c r="F78" s="16" t="n">
        <v>1974</v>
      </c>
    </row>
    <row r="79">
      <c r="A79" s="17" t="inlineStr">
        <is>
          <t>1976-04</t>
        </is>
      </c>
      <c r="B79" s="19" t="n">
        <v>631277.7</v>
      </c>
      <c r="C79" s="19" t="n">
        <v>243919.26</v>
      </c>
      <c r="D79" s="27">
        <f>IFERROR(C79/B79, 0)</f>
        <v/>
      </c>
      <c r="E79" s="27">
        <f>IFERROR((B79-B78)/B78, 0)</f>
        <v/>
      </c>
      <c r="F79" s="21" t="n">
        <v>1955</v>
      </c>
    </row>
    <row r="80">
      <c r="A80" s="12" t="inlineStr">
        <is>
          <t>1976-05</t>
        </is>
      </c>
      <c r="B80" s="14" t="n">
        <v>549666.48</v>
      </c>
      <c r="C80" s="14" t="n">
        <v>216201.29</v>
      </c>
      <c r="D80" s="26">
        <f>IFERROR(C80/B80, 0)</f>
        <v/>
      </c>
      <c r="E80" s="26">
        <f>IFERROR((B80-B79)/B79, 0)</f>
        <v/>
      </c>
      <c r="F80" s="16" t="n">
        <v>1772</v>
      </c>
    </row>
    <row r="81">
      <c r="A81" s="17" t="inlineStr">
        <is>
          <t>1976-06</t>
        </is>
      </c>
      <c r="B81" s="19" t="n">
        <v>653688.1800000001</v>
      </c>
      <c r="C81" s="19" t="n">
        <v>261549.27</v>
      </c>
      <c r="D81" s="27">
        <f>IFERROR(C81/B81, 0)</f>
        <v/>
      </c>
      <c r="E81" s="27">
        <f>IFERROR((B81-B80)/B80, 0)</f>
        <v/>
      </c>
      <c r="F81" s="21" t="n">
        <v>2121</v>
      </c>
    </row>
    <row r="82">
      <c r="A82" s="12" t="inlineStr">
        <is>
          <t>1976-07</t>
        </is>
      </c>
      <c r="B82" s="14" t="n">
        <v>632276.4</v>
      </c>
      <c r="C82" s="14" t="n">
        <v>252485.95</v>
      </c>
      <c r="D82" s="26">
        <f>IFERROR(C82/B82, 0)</f>
        <v/>
      </c>
      <c r="E82" s="26">
        <f>IFERROR((B82-B81)/B81, 0)</f>
        <v/>
      </c>
      <c r="F82" s="16" t="n">
        <v>1923</v>
      </c>
    </row>
    <row r="83">
      <c r="A83" s="17" t="inlineStr">
        <is>
          <t>1976-08</t>
        </is>
      </c>
      <c r="B83" s="19" t="n">
        <v>627462.29</v>
      </c>
      <c r="C83" s="19" t="n">
        <v>251550.34</v>
      </c>
      <c r="D83" s="27">
        <f>IFERROR(C83/B83, 0)</f>
        <v/>
      </c>
      <c r="E83" s="27">
        <f>IFERROR((B83-B82)/B82, 0)</f>
        <v/>
      </c>
      <c r="F83" s="21" t="n">
        <v>2068</v>
      </c>
    </row>
    <row r="84">
      <c r="A84" s="12" t="inlineStr">
        <is>
          <t>1976-09</t>
        </is>
      </c>
      <c r="B84" s="14" t="n">
        <v>564220.9</v>
      </c>
      <c r="C84" s="14" t="n">
        <v>224084.02</v>
      </c>
      <c r="D84" s="26">
        <f>IFERROR(C84/B84, 0)</f>
        <v/>
      </c>
      <c r="E84" s="26">
        <f>IFERROR((B84-B83)/B83, 0)</f>
        <v/>
      </c>
      <c r="F84" s="16" t="n">
        <v>1868</v>
      </c>
    </row>
    <row r="85">
      <c r="A85" s="17" t="inlineStr">
        <is>
          <t>1976-10</t>
        </is>
      </c>
      <c r="B85" s="19" t="n">
        <v>647672.35</v>
      </c>
      <c r="C85" s="19" t="n">
        <v>259020.83</v>
      </c>
      <c r="D85" s="27">
        <f>IFERROR(C85/B85, 0)</f>
        <v/>
      </c>
      <c r="E85" s="27">
        <f>IFERROR((B85-B84)/B84, 0)</f>
        <v/>
      </c>
      <c r="F85" s="21" t="n">
        <v>2029</v>
      </c>
    </row>
    <row r="86">
      <c r="A86" s="12" t="inlineStr">
        <is>
          <t>1976-11</t>
        </is>
      </c>
      <c r="B86" s="14" t="n">
        <v>674710.38</v>
      </c>
      <c r="C86" s="14" t="n">
        <v>268114.3</v>
      </c>
      <c r="D86" s="26">
        <f>IFERROR(C86/B86, 0)</f>
        <v/>
      </c>
      <c r="E86" s="26">
        <f>IFERROR((B86-B85)/B85, 0)</f>
        <v/>
      </c>
      <c r="F86" s="16" t="n">
        <v>2031</v>
      </c>
    </row>
    <row r="87">
      <c r="A87" s="17" t="inlineStr">
        <is>
          <t>1976-12</t>
        </is>
      </c>
      <c r="B87" s="19" t="n">
        <v>642680.89</v>
      </c>
      <c r="C87" s="19" t="n">
        <v>259254.32</v>
      </c>
      <c r="D87" s="27">
        <f>IFERROR(C87/B87, 0)</f>
        <v/>
      </c>
      <c r="E87" s="27">
        <f>IFERROR((B87-B86)/B86, 0)</f>
        <v/>
      </c>
      <c r="F87" s="21" t="n">
        <v>2073</v>
      </c>
    </row>
    <row r="88">
      <c r="A88" s="12" t="inlineStr">
        <is>
          <t>1977-01</t>
        </is>
      </c>
      <c r="B88" s="14" t="n">
        <v>637945.0600000001</v>
      </c>
      <c r="C88" s="14" t="n">
        <v>248202.23</v>
      </c>
      <c r="D88" s="26">
        <f>IFERROR(C88/B88, 0)</f>
        <v/>
      </c>
      <c r="E88" s="26">
        <f>IFERROR((B88-B87)/B87, 0)</f>
        <v/>
      </c>
      <c r="F88" s="16" t="n">
        <v>2051</v>
      </c>
    </row>
    <row r="89">
      <c r="A89" s="17" t="inlineStr">
        <is>
          <t>1977-02</t>
        </is>
      </c>
      <c r="B89" s="19" t="n">
        <v>582894.9399999999</v>
      </c>
      <c r="C89" s="19" t="n">
        <v>227428.13</v>
      </c>
      <c r="D89" s="27">
        <f>IFERROR(C89/B89, 0)</f>
        <v/>
      </c>
      <c r="E89" s="27">
        <f>IFERROR((B89-B88)/B88, 0)</f>
        <v/>
      </c>
      <c r="F89" s="21" t="n">
        <v>1811</v>
      </c>
    </row>
    <row r="90">
      <c r="A90" s="12" t="inlineStr">
        <is>
          <t>1977-03</t>
        </is>
      </c>
      <c r="B90" s="14" t="n">
        <v>605999.5600000001</v>
      </c>
      <c r="C90" s="14" t="n">
        <v>243527.18</v>
      </c>
      <c r="D90" s="26">
        <f>IFERROR(C90/B90, 0)</f>
        <v/>
      </c>
      <c r="E90" s="26">
        <f>IFERROR((B90-B89)/B89, 0)</f>
        <v/>
      </c>
      <c r="F90" s="16" t="n">
        <v>1913</v>
      </c>
    </row>
    <row r="91">
      <c r="A91" s="17" t="inlineStr">
        <is>
          <t>1977-04</t>
        </is>
      </c>
      <c r="B91" s="19" t="n">
        <v>596785.97</v>
      </c>
      <c r="C91" s="19" t="n">
        <v>237065.36</v>
      </c>
      <c r="D91" s="27">
        <f>IFERROR(C91/B91, 0)</f>
        <v/>
      </c>
      <c r="E91" s="27">
        <f>IFERROR((B91-B90)/B90, 0)</f>
        <v/>
      </c>
      <c r="F91" s="21" t="n">
        <v>1877</v>
      </c>
    </row>
    <row r="92">
      <c r="A92" s="12" t="inlineStr">
        <is>
          <t>1977-05</t>
        </is>
      </c>
      <c r="B92" s="14" t="n">
        <v>620677.21</v>
      </c>
      <c r="C92" s="14" t="n">
        <v>253683.41</v>
      </c>
      <c r="D92" s="26">
        <f>IFERROR(C92/B92, 0)</f>
        <v/>
      </c>
      <c r="E92" s="26">
        <f>IFERROR((B92-B91)/B91, 0)</f>
        <v/>
      </c>
      <c r="F92" s="16" t="n">
        <v>2038</v>
      </c>
    </row>
    <row r="93">
      <c r="A93" s="17" t="inlineStr">
        <is>
          <t>1977-06</t>
        </is>
      </c>
      <c r="B93" s="19" t="n">
        <v>566344.85</v>
      </c>
      <c r="C93" s="19" t="n">
        <v>226346.59</v>
      </c>
      <c r="D93" s="27">
        <f>IFERROR(C93/B93, 0)</f>
        <v/>
      </c>
      <c r="E93" s="27">
        <f>IFERROR((B93-B92)/B92, 0)</f>
        <v/>
      </c>
      <c r="F93" s="21" t="n">
        <v>1901</v>
      </c>
    </row>
    <row r="94">
      <c r="A94" s="12" t="inlineStr">
        <is>
          <t>1977-07</t>
        </is>
      </c>
      <c r="B94" s="14" t="n">
        <v>619340.73</v>
      </c>
      <c r="C94" s="14" t="n">
        <v>243900.74</v>
      </c>
      <c r="D94" s="26">
        <f>IFERROR(C94/B94, 0)</f>
        <v/>
      </c>
      <c r="E94" s="26">
        <f>IFERROR((B94-B93)/B93, 0)</f>
        <v/>
      </c>
      <c r="F94" s="16" t="n">
        <v>1960</v>
      </c>
    </row>
    <row r="95">
      <c r="A95" s="17" t="inlineStr">
        <is>
          <t>1977-08</t>
        </is>
      </c>
      <c r="B95" s="19" t="n">
        <v>565333.8</v>
      </c>
      <c r="C95" s="19" t="n">
        <v>221689.65</v>
      </c>
      <c r="D95" s="27">
        <f>IFERROR(C95/B95, 0)</f>
        <v/>
      </c>
      <c r="E95" s="27">
        <f>IFERROR((B95-B94)/B94, 0)</f>
        <v/>
      </c>
      <c r="F95" s="21" t="n">
        <v>1881</v>
      </c>
    </row>
    <row r="96">
      <c r="A96" s="12" t="inlineStr">
        <is>
          <t>1977-09</t>
        </is>
      </c>
      <c r="B96" s="14" t="n">
        <v>654912.76</v>
      </c>
      <c r="C96" s="14" t="n">
        <v>258494.66</v>
      </c>
      <c r="D96" s="26">
        <f>IFERROR(C96/B96, 0)</f>
        <v/>
      </c>
      <c r="E96" s="26">
        <f>IFERROR((B96-B95)/B95, 0)</f>
        <v/>
      </c>
      <c r="F96" s="16" t="n">
        <v>2018</v>
      </c>
    </row>
    <row r="97">
      <c r="A97" s="17" t="inlineStr">
        <is>
          <t>1977-10</t>
        </is>
      </c>
      <c r="B97" s="19" t="n">
        <v>603538.1</v>
      </c>
      <c r="C97" s="19" t="n">
        <v>238016.78</v>
      </c>
      <c r="D97" s="27">
        <f>IFERROR(C97/B97, 0)</f>
        <v/>
      </c>
      <c r="E97" s="27">
        <f>IFERROR((B97-B96)/B96, 0)</f>
        <v/>
      </c>
      <c r="F97" s="21" t="n">
        <v>1978</v>
      </c>
    </row>
    <row r="98">
      <c r="A98" s="12" t="inlineStr">
        <is>
          <t>1977-11</t>
        </is>
      </c>
      <c r="B98" s="14" t="n">
        <v>648817.85</v>
      </c>
      <c r="C98" s="14" t="n">
        <v>251987.9</v>
      </c>
      <c r="D98" s="26">
        <f>IFERROR(C98/B98, 0)</f>
        <v/>
      </c>
      <c r="E98" s="26">
        <f>IFERROR((B98-B97)/B97, 0)</f>
        <v/>
      </c>
      <c r="F98" s="16" t="n">
        <v>1931</v>
      </c>
    </row>
    <row r="99">
      <c r="A99" s="17" t="inlineStr">
        <is>
          <t>1977-12</t>
        </is>
      </c>
      <c r="B99" s="19" t="n">
        <v>725846.23</v>
      </c>
      <c r="C99" s="19" t="n">
        <v>289893.59</v>
      </c>
      <c r="D99" s="27">
        <f>IFERROR(C99/B99, 0)</f>
        <v/>
      </c>
      <c r="E99" s="27">
        <f>IFERROR((B99-B98)/B98, 0)</f>
        <v/>
      </c>
      <c r="F99" s="21" t="n">
        <v>2221</v>
      </c>
    </row>
    <row r="100">
      <c r="A100" s="12" t="inlineStr">
        <is>
          <t>1978-01</t>
        </is>
      </c>
      <c r="B100" s="14" t="n">
        <v>658855.64</v>
      </c>
      <c r="C100" s="14" t="n">
        <v>266454.47</v>
      </c>
      <c r="D100" s="26">
        <f>IFERROR(C100/B100, 0)</f>
        <v/>
      </c>
      <c r="E100" s="26">
        <f>IFERROR((B100-B99)/B99, 0)</f>
        <v/>
      </c>
      <c r="F100" s="16" t="n">
        <v>2050</v>
      </c>
    </row>
    <row r="101">
      <c r="A101" s="17" t="inlineStr">
        <is>
          <t>1978-02</t>
        </is>
      </c>
      <c r="B101" s="19" t="n">
        <v>537889.59</v>
      </c>
      <c r="C101" s="19" t="n">
        <v>210814.76</v>
      </c>
      <c r="D101" s="27">
        <f>IFERROR(C101/B101, 0)</f>
        <v/>
      </c>
      <c r="E101" s="27">
        <f>IFERROR((B101-B100)/B100, 0)</f>
        <v/>
      </c>
      <c r="F101" s="21" t="n">
        <v>1671</v>
      </c>
    </row>
    <row r="102">
      <c r="A102" s="12" t="inlineStr">
        <is>
          <t>1978-03</t>
        </is>
      </c>
      <c r="B102" s="14" t="n">
        <v>603023.15</v>
      </c>
      <c r="C102" s="14" t="n">
        <v>241016.06</v>
      </c>
      <c r="D102" s="26">
        <f>IFERROR(C102/B102, 0)</f>
        <v/>
      </c>
      <c r="E102" s="26">
        <f>IFERROR((B102-B101)/B101, 0)</f>
        <v/>
      </c>
      <c r="F102" s="16" t="n">
        <v>1871</v>
      </c>
    </row>
    <row r="103">
      <c r="A103" s="17" t="inlineStr">
        <is>
          <t>1978-04</t>
        </is>
      </c>
      <c r="B103" s="19" t="n">
        <v>676955.0699999999</v>
      </c>
      <c r="C103" s="19" t="n">
        <v>264818.81</v>
      </c>
      <c r="D103" s="27">
        <f>IFERROR(C103/B103, 0)</f>
        <v/>
      </c>
      <c r="E103" s="27">
        <f>IFERROR((B103-B102)/B102, 0)</f>
        <v/>
      </c>
      <c r="F103" s="21" t="n">
        <v>2031</v>
      </c>
    </row>
    <row r="104">
      <c r="A104" s="12" t="inlineStr">
        <is>
          <t>1978-05</t>
        </is>
      </c>
      <c r="B104" s="14" t="n">
        <v>579055.73</v>
      </c>
      <c r="C104" s="14" t="n">
        <v>238581.18</v>
      </c>
      <c r="D104" s="26">
        <f>IFERROR(C104/B104, 0)</f>
        <v/>
      </c>
      <c r="E104" s="26">
        <f>IFERROR((B104-B103)/B103, 0)</f>
        <v/>
      </c>
      <c r="F104" s="16" t="n">
        <v>1893</v>
      </c>
    </row>
    <row r="105">
      <c r="A105" s="17" t="inlineStr">
        <is>
          <t>1978-06</t>
        </is>
      </c>
      <c r="B105" s="19" t="n">
        <v>611005.8</v>
      </c>
      <c r="C105" s="19" t="n">
        <v>240806.54</v>
      </c>
      <c r="D105" s="27">
        <f>IFERROR(C105/B105, 0)</f>
        <v/>
      </c>
      <c r="E105" s="27">
        <f>IFERROR((B105-B104)/B104, 0)</f>
        <v/>
      </c>
      <c r="F105" s="21" t="n">
        <v>1903</v>
      </c>
    </row>
    <row r="106">
      <c r="A106" s="12" t="inlineStr">
        <is>
          <t>1978-07</t>
        </is>
      </c>
      <c r="B106" s="14" t="n">
        <v>580426.95</v>
      </c>
      <c r="C106" s="14" t="n">
        <v>231917.9</v>
      </c>
      <c r="D106" s="26">
        <f>IFERROR(C106/B106, 0)</f>
        <v/>
      </c>
      <c r="E106" s="26">
        <f>IFERROR((B106-B105)/B105, 0)</f>
        <v/>
      </c>
      <c r="F106" s="16" t="n">
        <v>1825</v>
      </c>
    </row>
    <row r="107">
      <c r="A107" s="17" t="inlineStr">
        <is>
          <t>1978-08</t>
        </is>
      </c>
      <c r="B107" s="19" t="n">
        <v>619753.01</v>
      </c>
      <c r="C107" s="19" t="n">
        <v>241754.46</v>
      </c>
      <c r="D107" s="27">
        <f>IFERROR(C107/B107, 0)</f>
        <v/>
      </c>
      <c r="E107" s="27">
        <f>IFERROR((B107-B106)/B106, 0)</f>
        <v/>
      </c>
      <c r="F107" s="21" t="n">
        <v>2009</v>
      </c>
    </row>
    <row r="108">
      <c r="A108" s="12" t="inlineStr">
        <is>
          <t>1978-09</t>
        </is>
      </c>
      <c r="B108" s="14" t="n">
        <v>654388.24</v>
      </c>
      <c r="C108" s="14" t="n">
        <v>251457.87</v>
      </c>
      <c r="D108" s="26">
        <f>IFERROR(C108/B108, 0)</f>
        <v/>
      </c>
      <c r="E108" s="26">
        <f>IFERROR((B108-B107)/B107, 0)</f>
        <v/>
      </c>
      <c r="F108" s="16" t="n">
        <v>1954</v>
      </c>
    </row>
    <row r="109">
      <c r="A109" s="17" t="inlineStr">
        <is>
          <t>1978-10</t>
        </is>
      </c>
      <c r="B109" s="19" t="n">
        <v>620822.4300000001</v>
      </c>
      <c r="C109" s="19" t="n">
        <v>246338.13</v>
      </c>
      <c r="D109" s="27">
        <f>IFERROR(C109/B109, 0)</f>
        <v/>
      </c>
      <c r="E109" s="27">
        <f>IFERROR((B109-B108)/B108, 0)</f>
        <v/>
      </c>
      <c r="F109" s="21" t="n">
        <v>1981</v>
      </c>
    </row>
    <row r="110">
      <c r="A110" s="12" t="inlineStr">
        <is>
          <t>1978-11</t>
        </is>
      </c>
      <c r="B110" s="14" t="n">
        <v>616853.39</v>
      </c>
      <c r="C110" s="14" t="n">
        <v>243929.18</v>
      </c>
      <c r="D110" s="26">
        <f>IFERROR(C110/B110, 0)</f>
        <v/>
      </c>
      <c r="E110" s="26">
        <f>IFERROR((B110-B109)/B109, 0)</f>
        <v/>
      </c>
      <c r="F110" s="16" t="n">
        <v>1896</v>
      </c>
    </row>
    <row r="111">
      <c r="A111" s="17" t="inlineStr">
        <is>
          <t>1978-12</t>
        </is>
      </c>
      <c r="B111" s="19" t="n">
        <v>589183.63</v>
      </c>
      <c r="C111" s="19" t="n">
        <v>234548.82</v>
      </c>
      <c r="D111" s="27">
        <f>IFERROR(C111/B111, 0)</f>
        <v/>
      </c>
      <c r="E111" s="27">
        <f>IFERROR((B111-B110)/B110, 0)</f>
        <v/>
      </c>
      <c r="F111" s="21" t="n">
        <v>1879</v>
      </c>
    </row>
    <row r="112">
      <c r="A112" s="12" t="inlineStr">
        <is>
          <t>1979-01</t>
        </is>
      </c>
      <c r="B112" s="14" t="n">
        <v>624880.42</v>
      </c>
      <c r="C112" s="14" t="n">
        <v>244340.16</v>
      </c>
      <c r="D112" s="26">
        <f>IFERROR(C112/B112, 0)</f>
        <v/>
      </c>
      <c r="E112" s="26">
        <f>IFERROR((B112-B111)/B111, 0)</f>
        <v/>
      </c>
      <c r="F112" s="16" t="n">
        <v>1917</v>
      </c>
    </row>
    <row r="113">
      <c r="A113" s="17" t="inlineStr">
        <is>
          <t>1979-02</t>
        </is>
      </c>
      <c r="B113" s="19" t="n">
        <v>604279.49</v>
      </c>
      <c r="C113" s="19" t="n">
        <v>239648.67</v>
      </c>
      <c r="D113" s="27">
        <f>IFERROR(C113/B113, 0)</f>
        <v/>
      </c>
      <c r="E113" s="27">
        <f>IFERROR((B113-B112)/B112, 0)</f>
        <v/>
      </c>
      <c r="F113" s="21" t="n">
        <v>1921</v>
      </c>
    </row>
    <row r="114">
      <c r="A114" s="12" t="inlineStr">
        <is>
          <t>1979-03</t>
        </is>
      </c>
      <c r="B114" s="14" t="n">
        <v>650579.4399999999</v>
      </c>
      <c r="C114" s="14" t="n">
        <v>254517.03</v>
      </c>
      <c r="D114" s="26">
        <f>IFERROR(C114/B114, 0)</f>
        <v/>
      </c>
      <c r="E114" s="26">
        <f>IFERROR((B114-B113)/B113, 0)</f>
        <v/>
      </c>
      <c r="F114" s="16" t="n">
        <v>2165</v>
      </c>
    </row>
    <row r="115">
      <c r="A115" s="17" t="inlineStr">
        <is>
          <t>1979-04</t>
        </is>
      </c>
      <c r="B115" s="19" t="n">
        <v>692137.1800000001</v>
      </c>
      <c r="C115" s="19" t="n">
        <v>272643.93</v>
      </c>
      <c r="D115" s="27">
        <f>IFERROR(C115/B115, 0)</f>
        <v/>
      </c>
      <c r="E115" s="27">
        <f>IFERROR((B115-B114)/B114, 0)</f>
        <v/>
      </c>
      <c r="F115" s="21" t="n">
        <v>2057</v>
      </c>
    </row>
    <row r="116">
      <c r="A116" s="12" t="inlineStr">
        <is>
          <t>1979-05</t>
        </is>
      </c>
      <c r="B116" s="14" t="n">
        <v>616891.67</v>
      </c>
      <c r="C116" s="14" t="n">
        <v>252072.18</v>
      </c>
      <c r="D116" s="26">
        <f>IFERROR(C116/B116, 0)</f>
        <v/>
      </c>
      <c r="E116" s="26">
        <f>IFERROR((B116-B115)/B115, 0)</f>
        <v/>
      </c>
      <c r="F116" s="16" t="n">
        <v>1935</v>
      </c>
    </row>
    <row r="117">
      <c r="A117" s="17" t="inlineStr">
        <is>
          <t>1979-06</t>
        </is>
      </c>
      <c r="B117" s="19" t="n">
        <v>570484.46</v>
      </c>
      <c r="C117" s="19" t="n">
        <v>228939.6</v>
      </c>
      <c r="D117" s="27">
        <f>IFERROR(C117/B117, 0)</f>
        <v/>
      </c>
      <c r="E117" s="27">
        <f>IFERROR((B117-B116)/B116, 0)</f>
        <v/>
      </c>
      <c r="F117" s="21" t="n">
        <v>1777</v>
      </c>
    </row>
    <row r="118">
      <c r="A118" s="12" t="inlineStr">
        <is>
          <t>1979-07</t>
        </is>
      </c>
      <c r="B118" s="14" t="n">
        <v>535824.9</v>
      </c>
      <c r="C118" s="14" t="n">
        <v>209679</v>
      </c>
      <c r="D118" s="26">
        <f>IFERROR(C118/B118, 0)</f>
        <v/>
      </c>
      <c r="E118" s="26">
        <f>IFERROR((B118-B117)/B117, 0)</f>
        <v/>
      </c>
      <c r="F118" s="16" t="n">
        <v>1689</v>
      </c>
    </row>
    <row r="119">
      <c r="A119" s="17" t="inlineStr">
        <is>
          <t>1979-08</t>
        </is>
      </c>
      <c r="B119" s="19" t="n">
        <v>629671.0699999999</v>
      </c>
      <c r="C119" s="19" t="n">
        <v>247323.66</v>
      </c>
      <c r="D119" s="27">
        <f>IFERROR(C119/B119, 0)</f>
        <v/>
      </c>
      <c r="E119" s="27">
        <f>IFERROR((B119-B118)/B118, 0)</f>
        <v/>
      </c>
      <c r="F119" s="21" t="n">
        <v>1881</v>
      </c>
    </row>
    <row r="120">
      <c r="A120" s="12" t="inlineStr">
        <is>
          <t>1979-09</t>
        </is>
      </c>
      <c r="B120" s="14" t="n">
        <v>566204.4399999999</v>
      </c>
      <c r="C120" s="14" t="n">
        <v>220428.06</v>
      </c>
      <c r="D120" s="26">
        <f>IFERROR(C120/B120, 0)</f>
        <v/>
      </c>
      <c r="E120" s="26">
        <f>IFERROR((B120-B119)/B119, 0)</f>
        <v/>
      </c>
      <c r="F120" s="16" t="n">
        <v>1873</v>
      </c>
    </row>
    <row r="121">
      <c r="A121" s="17" t="inlineStr">
        <is>
          <t>1979-10</t>
        </is>
      </c>
      <c r="B121" s="19" t="n">
        <v>554896.4</v>
      </c>
      <c r="C121" s="19" t="n">
        <v>217858.22</v>
      </c>
      <c r="D121" s="27">
        <f>IFERROR(C121/B121, 0)</f>
        <v/>
      </c>
      <c r="E121" s="27">
        <f>IFERROR((B121-B120)/B120, 0)</f>
        <v/>
      </c>
      <c r="F121" s="21" t="n">
        <v>1753</v>
      </c>
    </row>
    <row r="122">
      <c r="A122" s="12" t="inlineStr">
        <is>
          <t>1979-11</t>
        </is>
      </c>
      <c r="B122" s="14" t="n">
        <v>643419.77</v>
      </c>
      <c r="C122" s="14" t="n">
        <v>251060.28</v>
      </c>
      <c r="D122" s="26">
        <f>IFERROR(C122/B122, 0)</f>
        <v/>
      </c>
      <c r="E122" s="26">
        <f>IFERROR((B122-B121)/B121, 0)</f>
        <v/>
      </c>
      <c r="F122" s="16" t="n">
        <v>1984</v>
      </c>
    </row>
    <row r="123">
      <c r="A123" s="17" t="inlineStr">
        <is>
          <t>1979-12</t>
        </is>
      </c>
      <c r="B123" s="19" t="n">
        <v>632852.25</v>
      </c>
      <c r="C123" s="19" t="n">
        <v>257462.39</v>
      </c>
      <c r="D123" s="27">
        <f>IFERROR(C123/B123, 0)</f>
        <v/>
      </c>
      <c r="E123" s="27">
        <f>IFERROR((B123-B122)/B122, 0)</f>
        <v/>
      </c>
      <c r="F123" s="21" t="n">
        <v>2006</v>
      </c>
    </row>
    <row r="124">
      <c r="A124" s="12" t="inlineStr">
        <is>
          <t>1980-01</t>
        </is>
      </c>
      <c r="B124" s="14" t="n">
        <v>617335.15</v>
      </c>
      <c r="C124" s="14" t="n">
        <v>237739.48</v>
      </c>
      <c r="D124" s="26">
        <f>IFERROR(C124/B124, 0)</f>
        <v/>
      </c>
      <c r="E124" s="26">
        <f>IFERROR((B124-B123)/B123, 0)</f>
        <v/>
      </c>
      <c r="F124" s="16" t="n">
        <v>1999</v>
      </c>
    </row>
    <row r="125">
      <c r="A125" s="17" t="inlineStr">
        <is>
          <t>1980-02</t>
        </is>
      </c>
      <c r="B125" s="19" t="n">
        <v>582505.4300000001</v>
      </c>
      <c r="C125" s="19" t="n">
        <v>234246.26</v>
      </c>
      <c r="D125" s="27">
        <f>IFERROR(C125/B125, 0)</f>
        <v/>
      </c>
      <c r="E125" s="27">
        <f>IFERROR((B125-B124)/B124, 0)</f>
        <v/>
      </c>
      <c r="F125" s="21" t="n">
        <v>1834</v>
      </c>
    </row>
    <row r="126">
      <c r="A126" s="12" t="inlineStr">
        <is>
          <t>1980-03</t>
        </is>
      </c>
      <c r="B126" s="14" t="n">
        <v>576556.03</v>
      </c>
      <c r="C126" s="14" t="n">
        <v>231541.61</v>
      </c>
      <c r="D126" s="26">
        <f>IFERROR(C126/B126, 0)</f>
        <v/>
      </c>
      <c r="E126" s="26">
        <f>IFERROR((B126-B125)/B125, 0)</f>
        <v/>
      </c>
      <c r="F126" s="16" t="n">
        <v>1859</v>
      </c>
    </row>
    <row r="127">
      <c r="A127" s="17" t="inlineStr">
        <is>
          <t>1980-04</t>
        </is>
      </c>
      <c r="B127" s="19" t="n">
        <v>657282.1899999999</v>
      </c>
      <c r="C127" s="19" t="n">
        <v>255354.7</v>
      </c>
      <c r="D127" s="27">
        <f>IFERROR(C127/B127, 0)</f>
        <v/>
      </c>
      <c r="E127" s="27">
        <f>IFERROR((B127-B126)/B126, 0)</f>
        <v/>
      </c>
      <c r="F127" s="21" t="n">
        <v>2011</v>
      </c>
    </row>
    <row r="128">
      <c r="A128" s="12" t="inlineStr">
        <is>
          <t>1980-05</t>
        </is>
      </c>
      <c r="B128" s="14" t="n">
        <v>569050.12</v>
      </c>
      <c r="C128" s="14" t="n">
        <v>226647.15</v>
      </c>
      <c r="D128" s="26">
        <f>IFERROR(C128/B128, 0)</f>
        <v/>
      </c>
      <c r="E128" s="26">
        <f>IFERROR((B128-B127)/B127, 0)</f>
        <v/>
      </c>
      <c r="F128" s="16" t="n">
        <v>1846</v>
      </c>
    </row>
    <row r="129">
      <c r="A129" s="17" t="inlineStr">
        <is>
          <t>1980-06</t>
        </is>
      </c>
      <c r="B129" s="19" t="n">
        <v>558060.11</v>
      </c>
      <c r="C129" s="19" t="n">
        <v>225890.92</v>
      </c>
      <c r="D129" s="27">
        <f>IFERROR(C129/B129, 0)</f>
        <v/>
      </c>
      <c r="E129" s="27">
        <f>IFERROR((B129-B128)/B128, 0)</f>
        <v/>
      </c>
      <c r="F129" s="21" t="n">
        <v>1804</v>
      </c>
    </row>
    <row r="130">
      <c r="A130" s="12" t="inlineStr">
        <is>
          <t>1980-07</t>
        </is>
      </c>
      <c r="B130" s="14" t="n">
        <v>662132.55</v>
      </c>
      <c r="C130" s="14" t="n">
        <v>261165.52</v>
      </c>
      <c r="D130" s="26">
        <f>IFERROR(C130/B130, 0)</f>
        <v/>
      </c>
      <c r="E130" s="26">
        <f>IFERROR((B130-B129)/B129, 0)</f>
        <v/>
      </c>
      <c r="F130" s="16" t="n">
        <v>2033</v>
      </c>
    </row>
    <row r="131">
      <c r="A131" s="17" t="inlineStr">
        <is>
          <t>1980-08</t>
        </is>
      </c>
      <c r="B131" s="19" t="n">
        <v>585989.02</v>
      </c>
      <c r="C131" s="19" t="n">
        <v>234494.11</v>
      </c>
      <c r="D131" s="27">
        <f>IFERROR(C131/B131, 0)</f>
        <v/>
      </c>
      <c r="E131" s="27">
        <f>IFERROR((B131-B130)/B130, 0)</f>
        <v/>
      </c>
      <c r="F131" s="21" t="n">
        <v>1911</v>
      </c>
    </row>
    <row r="132">
      <c r="A132" s="12" t="inlineStr">
        <is>
          <t>1980-09</t>
        </is>
      </c>
      <c r="B132" s="14" t="n">
        <v>548808.35</v>
      </c>
      <c r="C132" s="14" t="n">
        <v>219292.07</v>
      </c>
      <c r="D132" s="26">
        <f>IFERROR(C132/B132, 0)</f>
        <v/>
      </c>
      <c r="E132" s="26">
        <f>IFERROR((B132-B131)/B131, 0)</f>
        <v/>
      </c>
      <c r="F132" s="16" t="n">
        <v>1823</v>
      </c>
    </row>
    <row r="133">
      <c r="A133" s="17" t="inlineStr">
        <is>
          <t>1980-10</t>
        </is>
      </c>
      <c r="B133" s="19" t="n">
        <v>614202.03</v>
      </c>
      <c r="C133" s="19" t="n">
        <v>242877.72</v>
      </c>
      <c r="D133" s="27">
        <f>IFERROR(C133/B133, 0)</f>
        <v/>
      </c>
      <c r="E133" s="27">
        <f>IFERROR((B133-B132)/B132, 0)</f>
        <v/>
      </c>
      <c r="F133" s="21" t="n">
        <v>1932</v>
      </c>
    </row>
    <row r="134">
      <c r="A134" s="12" t="inlineStr">
        <is>
          <t>1980-11</t>
        </is>
      </c>
      <c r="B134" s="14" t="n">
        <v>574408.09</v>
      </c>
      <c r="C134" s="14" t="n">
        <v>222284.04</v>
      </c>
      <c r="D134" s="26">
        <f>IFERROR(C134/B134, 0)</f>
        <v/>
      </c>
      <c r="E134" s="26">
        <f>IFERROR((B134-B133)/B133, 0)</f>
        <v/>
      </c>
      <c r="F134" s="16" t="n">
        <v>1845</v>
      </c>
    </row>
    <row r="135">
      <c r="A135" s="17" t="inlineStr">
        <is>
          <t>1980-12</t>
        </is>
      </c>
      <c r="B135" s="19" t="n">
        <v>667876.99</v>
      </c>
      <c r="C135" s="19" t="n">
        <v>261170.92</v>
      </c>
      <c r="D135" s="27">
        <f>IFERROR(C135/B135, 0)</f>
        <v/>
      </c>
      <c r="E135" s="27">
        <f>IFERROR((B135-B134)/B134, 0)</f>
        <v/>
      </c>
      <c r="F135" s="21" t="n">
        <v>2183</v>
      </c>
    </row>
    <row r="136">
      <c r="A136" s="12" t="inlineStr">
        <is>
          <t>1981-01</t>
        </is>
      </c>
      <c r="B136" s="14" t="n">
        <v>695033.22</v>
      </c>
      <c r="C136" s="14" t="n">
        <v>277282.01</v>
      </c>
      <c r="D136" s="26">
        <f>IFERROR(C136/B136, 0)</f>
        <v/>
      </c>
      <c r="E136" s="26">
        <f>IFERROR((B136-B135)/B135, 0)</f>
        <v/>
      </c>
      <c r="F136" s="16" t="n">
        <v>2081</v>
      </c>
    </row>
    <row r="137">
      <c r="A137" s="17" t="inlineStr">
        <is>
          <t>1981-02</t>
        </is>
      </c>
      <c r="B137" s="19" t="n">
        <v>584743.8100000001</v>
      </c>
      <c r="C137" s="19" t="n">
        <v>233441.33</v>
      </c>
      <c r="D137" s="27">
        <f>IFERROR(C137/B137, 0)</f>
        <v/>
      </c>
      <c r="E137" s="27">
        <f>IFERROR((B137-B136)/B136, 0)</f>
        <v/>
      </c>
      <c r="F137" s="21" t="n">
        <v>1822</v>
      </c>
    </row>
    <row r="138">
      <c r="A138" s="12" t="inlineStr">
        <is>
          <t>1981-03</t>
        </is>
      </c>
      <c r="B138" s="14" t="n">
        <v>647351.1800000001</v>
      </c>
      <c r="C138" s="14" t="n">
        <v>258540.91</v>
      </c>
      <c r="D138" s="26">
        <f>IFERROR(C138/B138, 0)</f>
        <v/>
      </c>
      <c r="E138" s="26">
        <f>IFERROR((B138-B137)/B137, 0)</f>
        <v/>
      </c>
      <c r="F138" s="16" t="n">
        <v>1996</v>
      </c>
    </row>
    <row r="139">
      <c r="A139" s="17" t="inlineStr">
        <is>
          <t>1981-04</t>
        </is>
      </c>
      <c r="B139" s="19" t="n">
        <v>537802.4399999999</v>
      </c>
      <c r="C139" s="19" t="n">
        <v>210091.21</v>
      </c>
      <c r="D139" s="27">
        <f>IFERROR(C139/B139, 0)</f>
        <v/>
      </c>
      <c r="E139" s="27">
        <f>IFERROR((B139-B138)/B138, 0)</f>
        <v/>
      </c>
      <c r="F139" s="21" t="n">
        <v>1730</v>
      </c>
    </row>
    <row r="140">
      <c r="A140" s="12" t="inlineStr">
        <is>
          <t>1981-05</t>
        </is>
      </c>
      <c r="B140" s="14" t="n">
        <v>580359.16</v>
      </c>
      <c r="C140" s="14" t="n">
        <v>230565.6</v>
      </c>
      <c r="D140" s="26">
        <f>IFERROR(C140/B140, 0)</f>
        <v/>
      </c>
      <c r="E140" s="26">
        <f>IFERROR((B140-B139)/B139, 0)</f>
        <v/>
      </c>
      <c r="F140" s="16" t="n">
        <v>1893</v>
      </c>
    </row>
    <row r="141">
      <c r="A141" s="17" t="inlineStr">
        <is>
          <t>1981-06</t>
        </is>
      </c>
      <c r="B141" s="19" t="n">
        <v>662638.87</v>
      </c>
      <c r="C141" s="19" t="n">
        <v>257212.46</v>
      </c>
      <c r="D141" s="27">
        <f>IFERROR(C141/B141, 0)</f>
        <v/>
      </c>
      <c r="E141" s="27">
        <f>IFERROR((B141-B140)/B140, 0)</f>
        <v/>
      </c>
      <c r="F141" s="21" t="n">
        <v>1989</v>
      </c>
    </row>
    <row r="142">
      <c r="A142" s="12" t="inlineStr">
        <is>
          <t>1981-07</t>
        </is>
      </c>
      <c r="B142" s="14" t="n">
        <v>595328.97</v>
      </c>
      <c r="C142" s="14" t="n">
        <v>232108.39</v>
      </c>
      <c r="D142" s="26">
        <f>IFERROR(C142/B142, 0)</f>
        <v/>
      </c>
      <c r="E142" s="26">
        <f>IFERROR((B142-B141)/B141, 0)</f>
        <v/>
      </c>
      <c r="F142" s="16" t="n">
        <v>1880</v>
      </c>
    </row>
    <row r="143">
      <c r="A143" s="17" t="inlineStr">
        <is>
          <t>1981-08</t>
        </is>
      </c>
      <c r="B143" s="19" t="n">
        <v>591816.3199999999</v>
      </c>
      <c r="C143" s="19" t="n">
        <v>241738.14</v>
      </c>
      <c r="D143" s="27">
        <f>IFERROR(C143/B143, 0)</f>
        <v/>
      </c>
      <c r="E143" s="27">
        <f>IFERROR((B143-B142)/B142, 0)</f>
        <v/>
      </c>
      <c r="F143" s="21" t="n">
        <v>1928</v>
      </c>
    </row>
    <row r="144">
      <c r="A144" s="12" t="inlineStr">
        <is>
          <t>1981-09</t>
        </is>
      </c>
      <c r="B144" s="14" t="n">
        <v>678329.21</v>
      </c>
      <c r="C144" s="14" t="n">
        <v>267366.36</v>
      </c>
      <c r="D144" s="26">
        <f>IFERROR(C144/B144, 0)</f>
        <v/>
      </c>
      <c r="E144" s="26">
        <f>IFERROR((B144-B143)/B143, 0)</f>
        <v/>
      </c>
      <c r="F144" s="16" t="n">
        <v>2161</v>
      </c>
    </row>
    <row r="145">
      <c r="A145" s="17" t="inlineStr">
        <is>
          <t>1981-10</t>
        </is>
      </c>
      <c r="B145" s="19" t="n">
        <v>589719.52</v>
      </c>
      <c r="C145" s="19" t="n">
        <v>227251.03</v>
      </c>
      <c r="D145" s="27">
        <f>IFERROR(C145/B145, 0)</f>
        <v/>
      </c>
      <c r="E145" s="27">
        <f>IFERROR((B145-B144)/B144, 0)</f>
        <v/>
      </c>
      <c r="F145" s="21" t="n">
        <v>1845</v>
      </c>
    </row>
    <row r="146">
      <c r="A146" s="12" t="inlineStr">
        <is>
          <t>1981-11</t>
        </is>
      </c>
      <c r="B146" s="14" t="n">
        <v>590723.63</v>
      </c>
      <c r="C146" s="14" t="n">
        <v>232488.92</v>
      </c>
      <c r="D146" s="26">
        <f>IFERROR(C146/B146, 0)</f>
        <v/>
      </c>
      <c r="E146" s="26">
        <f>IFERROR((B146-B145)/B145, 0)</f>
        <v/>
      </c>
      <c r="F146" s="16" t="n">
        <v>1920</v>
      </c>
    </row>
    <row r="147">
      <c r="A147" s="17" t="inlineStr">
        <is>
          <t>1981-12</t>
        </is>
      </c>
      <c r="B147" s="19" t="n">
        <v>571741.71</v>
      </c>
      <c r="C147" s="19" t="n">
        <v>228037.95</v>
      </c>
      <c r="D147" s="27">
        <f>IFERROR(C147/B147, 0)</f>
        <v/>
      </c>
      <c r="E147" s="27">
        <f>IFERROR((B147-B146)/B146, 0)</f>
        <v/>
      </c>
      <c r="F147" s="21" t="n">
        <v>1852</v>
      </c>
    </row>
    <row r="148">
      <c r="A148" s="12" t="inlineStr">
        <is>
          <t>1982-01</t>
        </is>
      </c>
      <c r="B148" s="14" t="n">
        <v>596497.27</v>
      </c>
      <c r="C148" s="14" t="n">
        <v>244981.3</v>
      </c>
      <c r="D148" s="26">
        <f>IFERROR(C148/B148, 0)</f>
        <v/>
      </c>
      <c r="E148" s="26">
        <f>IFERROR((B148-B147)/B147, 0)</f>
        <v/>
      </c>
      <c r="F148" s="16" t="n">
        <v>1896</v>
      </c>
    </row>
    <row r="149">
      <c r="A149" s="17" t="inlineStr">
        <is>
          <t>1982-02</t>
        </is>
      </c>
      <c r="B149" s="19" t="n">
        <v>521619.72</v>
      </c>
      <c r="C149" s="19" t="n">
        <v>214593.03</v>
      </c>
      <c r="D149" s="27">
        <f>IFERROR(C149/B149, 0)</f>
        <v/>
      </c>
      <c r="E149" s="27">
        <f>IFERROR((B149-B148)/B148, 0)</f>
        <v/>
      </c>
      <c r="F149" s="21" t="n">
        <v>1789</v>
      </c>
    </row>
    <row r="150">
      <c r="A150" s="12" t="inlineStr">
        <is>
          <t>1982-03</t>
        </is>
      </c>
      <c r="B150" s="14" t="n">
        <v>593006.1800000001</v>
      </c>
      <c r="C150" s="14" t="n">
        <v>239066.21</v>
      </c>
      <c r="D150" s="26">
        <f>IFERROR(C150/B150, 0)</f>
        <v/>
      </c>
      <c r="E150" s="26">
        <f>IFERROR((B150-B149)/B149, 0)</f>
        <v/>
      </c>
      <c r="F150" s="16" t="n">
        <v>1916</v>
      </c>
    </row>
    <row r="151">
      <c r="A151" s="17" t="inlineStr">
        <is>
          <t>1982-04</t>
        </is>
      </c>
      <c r="B151" s="19" t="n">
        <v>612535.86</v>
      </c>
      <c r="C151" s="19" t="n">
        <v>229997.63</v>
      </c>
      <c r="D151" s="27">
        <f>IFERROR(C151/B151, 0)</f>
        <v/>
      </c>
      <c r="E151" s="27">
        <f>IFERROR((B151-B150)/B150, 0)</f>
        <v/>
      </c>
      <c r="F151" s="21" t="n">
        <v>1850</v>
      </c>
    </row>
    <row r="152">
      <c r="A152" s="12" t="inlineStr">
        <is>
          <t>1982-05</t>
        </is>
      </c>
      <c r="B152" s="14" t="n">
        <v>656049.59</v>
      </c>
      <c r="C152" s="14" t="n">
        <v>249289.56</v>
      </c>
      <c r="D152" s="26">
        <f>IFERROR(C152/B152, 0)</f>
        <v/>
      </c>
      <c r="E152" s="26">
        <f>IFERROR((B152-B151)/B151, 0)</f>
        <v/>
      </c>
      <c r="F152" s="16" t="n">
        <v>1999</v>
      </c>
    </row>
    <row r="153">
      <c r="A153" s="17" t="inlineStr">
        <is>
          <t>1982-06</t>
        </is>
      </c>
      <c r="B153" s="19" t="n">
        <v>596628.49</v>
      </c>
      <c r="C153" s="19" t="n">
        <v>235006.41</v>
      </c>
      <c r="D153" s="27">
        <f>IFERROR(C153/B153, 0)</f>
        <v/>
      </c>
      <c r="E153" s="27">
        <f>IFERROR((B153-B152)/B152, 0)</f>
        <v/>
      </c>
      <c r="F153" s="21" t="n">
        <v>1832</v>
      </c>
    </row>
    <row r="154">
      <c r="A154" s="12" t="inlineStr">
        <is>
          <t>1982-07</t>
        </is>
      </c>
      <c r="B154" s="14" t="n">
        <v>621931.26</v>
      </c>
      <c r="C154" s="14" t="n">
        <v>242020.03</v>
      </c>
      <c r="D154" s="26">
        <f>IFERROR(C154/B154, 0)</f>
        <v/>
      </c>
      <c r="E154" s="26">
        <f>IFERROR((B154-B153)/B153, 0)</f>
        <v/>
      </c>
      <c r="F154" s="16" t="n">
        <v>1918</v>
      </c>
    </row>
    <row r="155">
      <c r="A155" s="17" t="inlineStr">
        <is>
          <t>1982-08</t>
        </is>
      </c>
      <c r="B155" s="19" t="n">
        <v>626317.8</v>
      </c>
      <c r="C155" s="19" t="n">
        <v>240455.71</v>
      </c>
      <c r="D155" s="27">
        <f>IFERROR(C155/B155, 0)</f>
        <v/>
      </c>
      <c r="E155" s="27">
        <f>IFERROR((B155-B154)/B154, 0)</f>
        <v/>
      </c>
      <c r="F155" s="21" t="n">
        <v>1888</v>
      </c>
    </row>
    <row r="156">
      <c r="A156" s="12" t="inlineStr">
        <is>
          <t>1982-09</t>
        </is>
      </c>
      <c r="B156" s="14" t="n">
        <v>526444.7</v>
      </c>
      <c r="C156" s="14" t="n">
        <v>211685.58</v>
      </c>
      <c r="D156" s="26">
        <f>IFERROR(C156/B156, 0)</f>
        <v/>
      </c>
      <c r="E156" s="26">
        <f>IFERROR((B156-B155)/B155, 0)</f>
        <v/>
      </c>
      <c r="F156" s="16" t="n">
        <v>1734</v>
      </c>
    </row>
    <row r="157">
      <c r="A157" s="17" t="inlineStr">
        <is>
          <t>1982-10</t>
        </is>
      </c>
      <c r="B157" s="19" t="n">
        <v>604434.99</v>
      </c>
      <c r="C157" s="19" t="n">
        <v>241162.45</v>
      </c>
      <c r="D157" s="27">
        <f>IFERROR(C157/B157, 0)</f>
        <v/>
      </c>
      <c r="E157" s="27">
        <f>IFERROR((B157-B156)/B156, 0)</f>
        <v/>
      </c>
      <c r="F157" s="21" t="n">
        <v>1905</v>
      </c>
    </row>
    <row r="158">
      <c r="A158" s="12" t="inlineStr">
        <is>
          <t>1982-11</t>
        </is>
      </c>
      <c r="B158" s="14" t="n">
        <v>605873.01</v>
      </c>
      <c r="C158" s="14" t="n">
        <v>241241.62</v>
      </c>
      <c r="D158" s="26">
        <f>IFERROR(C158/B158, 0)</f>
        <v/>
      </c>
      <c r="E158" s="26">
        <f>IFERROR((B158-B157)/B157, 0)</f>
        <v/>
      </c>
      <c r="F158" s="16" t="n">
        <v>1931</v>
      </c>
    </row>
    <row r="159">
      <c r="A159" s="17" t="inlineStr">
        <is>
          <t>1982-12</t>
        </is>
      </c>
      <c r="B159" s="19" t="n">
        <v>609775.1899999999</v>
      </c>
      <c r="C159" s="19" t="n">
        <v>246747.2</v>
      </c>
      <c r="D159" s="27">
        <f>IFERROR(C159/B159, 0)</f>
        <v/>
      </c>
      <c r="E159" s="27">
        <f>IFERROR((B159-B158)/B158, 0)</f>
        <v/>
      </c>
      <c r="F159" s="21" t="n">
        <v>1871</v>
      </c>
    </row>
    <row r="160">
      <c r="A160" s="12" t="inlineStr">
        <is>
          <t>1983-01</t>
        </is>
      </c>
      <c r="B160" s="14" t="n">
        <v>660115.9300000001</v>
      </c>
      <c r="C160" s="14" t="n">
        <v>255281.75</v>
      </c>
      <c r="D160" s="26">
        <f>IFERROR(C160/B160, 0)</f>
        <v/>
      </c>
      <c r="E160" s="26">
        <f>IFERROR((B160-B159)/B159, 0)</f>
        <v/>
      </c>
      <c r="F160" s="16" t="n">
        <v>2066</v>
      </c>
    </row>
    <row r="161">
      <c r="A161" s="17" t="inlineStr">
        <is>
          <t>1983-02</t>
        </is>
      </c>
      <c r="B161" s="19" t="n">
        <v>604529.22</v>
      </c>
      <c r="C161" s="19" t="n">
        <v>230768.46</v>
      </c>
      <c r="D161" s="27">
        <f>IFERROR(C161/B161, 0)</f>
        <v/>
      </c>
      <c r="E161" s="27">
        <f>IFERROR((B161-B160)/B160, 0)</f>
        <v/>
      </c>
      <c r="F161" s="21" t="n">
        <v>1985</v>
      </c>
    </row>
    <row r="162">
      <c r="A162" s="12" t="inlineStr">
        <is>
          <t>1983-03</t>
        </is>
      </c>
      <c r="B162" s="14" t="n">
        <v>636449.95</v>
      </c>
      <c r="C162" s="14" t="n">
        <v>250753.88</v>
      </c>
      <c r="D162" s="26">
        <f>IFERROR(C162/B162, 0)</f>
        <v/>
      </c>
      <c r="E162" s="26">
        <f>IFERROR((B162-B161)/B161, 0)</f>
        <v/>
      </c>
      <c r="F162" s="16" t="n">
        <v>1870</v>
      </c>
    </row>
    <row r="163">
      <c r="A163" s="17" t="inlineStr">
        <is>
          <t>1983-04</t>
        </is>
      </c>
      <c r="B163" s="19" t="n">
        <v>608464.25</v>
      </c>
      <c r="C163" s="19" t="n">
        <v>234406.46</v>
      </c>
      <c r="D163" s="27">
        <f>IFERROR(C163/B163, 0)</f>
        <v/>
      </c>
      <c r="E163" s="27">
        <f>IFERROR((B163-B162)/B162, 0)</f>
        <v/>
      </c>
      <c r="F163" s="21" t="n">
        <v>1972</v>
      </c>
    </row>
    <row r="164">
      <c r="A164" s="12" t="inlineStr">
        <is>
          <t>1983-05</t>
        </is>
      </c>
      <c r="B164" s="14" t="n">
        <v>680511.51</v>
      </c>
      <c r="C164" s="14" t="n">
        <v>272092.82</v>
      </c>
      <c r="D164" s="26">
        <f>IFERROR(C164/B164, 0)</f>
        <v/>
      </c>
      <c r="E164" s="26">
        <f>IFERROR((B164-B163)/B163, 0)</f>
        <v/>
      </c>
      <c r="F164" s="16" t="n">
        <v>2216</v>
      </c>
    </row>
    <row r="165">
      <c r="A165" s="17" t="inlineStr">
        <is>
          <t>1983-06</t>
        </is>
      </c>
      <c r="B165" s="19" t="n">
        <v>679015.92</v>
      </c>
      <c r="C165" s="19" t="n">
        <v>268816.34</v>
      </c>
      <c r="D165" s="27">
        <f>IFERROR(C165/B165, 0)</f>
        <v/>
      </c>
      <c r="E165" s="27">
        <f>IFERROR((B165-B164)/B164, 0)</f>
        <v/>
      </c>
      <c r="F165" s="21" t="n">
        <v>2003</v>
      </c>
    </row>
    <row r="166">
      <c r="A166" s="12" t="inlineStr">
        <is>
          <t>1983-07</t>
        </is>
      </c>
      <c r="B166" s="14" t="n">
        <v>650828.3</v>
      </c>
      <c r="C166" s="14" t="n">
        <v>257145.59</v>
      </c>
      <c r="D166" s="26">
        <f>IFERROR(C166/B166, 0)</f>
        <v/>
      </c>
      <c r="E166" s="26">
        <f>IFERROR((B166-B165)/B165, 0)</f>
        <v/>
      </c>
      <c r="F166" s="16" t="n">
        <v>2023</v>
      </c>
    </row>
    <row r="167">
      <c r="A167" s="17" t="inlineStr">
        <is>
          <t>1983-08</t>
        </is>
      </c>
      <c r="B167" s="19" t="n">
        <v>598208.48</v>
      </c>
      <c r="C167" s="19" t="n">
        <v>240062.99</v>
      </c>
      <c r="D167" s="27">
        <f>IFERROR(C167/B167, 0)</f>
        <v/>
      </c>
      <c r="E167" s="27">
        <f>IFERROR((B167-B166)/B166, 0)</f>
        <v/>
      </c>
      <c r="F167" s="21" t="n">
        <v>1984</v>
      </c>
    </row>
    <row r="168">
      <c r="A168" s="12" t="inlineStr">
        <is>
          <t>1983-09</t>
        </is>
      </c>
      <c r="B168" s="14" t="n">
        <v>564531.35</v>
      </c>
      <c r="C168" s="14" t="n">
        <v>226620.35</v>
      </c>
      <c r="D168" s="26">
        <f>IFERROR(C168/B168, 0)</f>
        <v/>
      </c>
      <c r="E168" s="26">
        <f>IFERROR((B168-B167)/B167, 0)</f>
        <v/>
      </c>
      <c r="F168" s="16" t="n">
        <v>1788</v>
      </c>
    </row>
    <row r="169">
      <c r="A169" s="17" t="inlineStr">
        <is>
          <t>1983-10</t>
        </is>
      </c>
      <c r="B169" s="19" t="n">
        <v>562550.1899999999</v>
      </c>
      <c r="C169" s="19" t="n">
        <v>226205.37</v>
      </c>
      <c r="D169" s="27">
        <f>IFERROR(C169/B169, 0)</f>
        <v/>
      </c>
      <c r="E169" s="27">
        <f>IFERROR((B169-B168)/B168, 0)</f>
        <v/>
      </c>
      <c r="F169" s="21" t="n">
        <v>1749</v>
      </c>
    </row>
    <row r="170">
      <c r="A170" s="12" t="inlineStr">
        <is>
          <t>1983-11</t>
        </is>
      </c>
      <c r="B170" s="14" t="n">
        <v>633048.98</v>
      </c>
      <c r="C170" s="14" t="n">
        <v>252240.55</v>
      </c>
      <c r="D170" s="26">
        <f>IFERROR(C170/B170, 0)</f>
        <v/>
      </c>
      <c r="E170" s="26">
        <f>IFERROR((B170-B169)/B169, 0)</f>
        <v/>
      </c>
      <c r="F170" s="16" t="n">
        <v>1867</v>
      </c>
    </row>
    <row r="171">
      <c r="A171" s="17" t="inlineStr">
        <is>
          <t>1983-12</t>
        </is>
      </c>
      <c r="B171" s="19" t="n">
        <v>557293.0699999999</v>
      </c>
      <c r="C171" s="19" t="n">
        <v>224613.84</v>
      </c>
      <c r="D171" s="27">
        <f>IFERROR(C171/B171, 0)</f>
        <v/>
      </c>
      <c r="E171" s="27">
        <f>IFERROR((B171-B170)/B170, 0)</f>
        <v/>
      </c>
      <c r="F171" s="21" t="n">
        <v>1944</v>
      </c>
    </row>
    <row r="172">
      <c r="A172" s="12" t="inlineStr">
        <is>
          <t>1984-01</t>
        </is>
      </c>
      <c r="B172" s="14" t="n">
        <v>699247.3</v>
      </c>
      <c r="C172" s="14" t="n">
        <v>286448.85</v>
      </c>
      <c r="D172" s="26">
        <f>IFERROR(C172/B172, 0)</f>
        <v/>
      </c>
      <c r="E172" s="26">
        <f>IFERROR((B172-B171)/B171, 0)</f>
        <v/>
      </c>
      <c r="F172" s="16" t="n">
        <v>2283</v>
      </c>
    </row>
    <row r="173">
      <c r="A173" s="17" t="inlineStr">
        <is>
          <t>1984-02</t>
        </is>
      </c>
      <c r="B173" s="19" t="n">
        <v>610869.54</v>
      </c>
      <c r="C173" s="19" t="n">
        <v>240400.55</v>
      </c>
      <c r="D173" s="27">
        <f>IFERROR(C173/B173, 0)</f>
        <v/>
      </c>
      <c r="E173" s="27">
        <f>IFERROR((B173-B172)/B172, 0)</f>
        <v/>
      </c>
      <c r="F173" s="21" t="n">
        <v>1938</v>
      </c>
    </row>
    <row r="174">
      <c r="A174" s="12" t="inlineStr">
        <is>
          <t>1984-03</t>
        </is>
      </c>
      <c r="B174" s="14" t="n">
        <v>670858.9300000001</v>
      </c>
      <c r="C174" s="14" t="n">
        <v>263608.54</v>
      </c>
      <c r="D174" s="26">
        <f>IFERROR(C174/B174, 0)</f>
        <v/>
      </c>
      <c r="E174" s="26">
        <f>IFERROR((B174-B173)/B173, 0)</f>
        <v/>
      </c>
      <c r="F174" s="16" t="n">
        <v>2173</v>
      </c>
    </row>
    <row r="175">
      <c r="A175" s="17" t="inlineStr">
        <is>
          <t>1984-04</t>
        </is>
      </c>
      <c r="B175" s="19" t="n">
        <v>613557.16</v>
      </c>
      <c r="C175" s="19" t="n">
        <v>248444.89</v>
      </c>
      <c r="D175" s="27">
        <f>IFERROR(C175/B175, 0)</f>
        <v/>
      </c>
      <c r="E175" s="27">
        <f>IFERROR((B175-B174)/B174, 0)</f>
        <v/>
      </c>
      <c r="F175" s="21" t="n">
        <v>1961</v>
      </c>
    </row>
    <row r="176">
      <c r="A176" s="12" t="inlineStr">
        <is>
          <t>1984-05</t>
        </is>
      </c>
      <c r="B176" s="14" t="n">
        <v>536409.62</v>
      </c>
      <c r="C176" s="14" t="n">
        <v>210097.11</v>
      </c>
      <c r="D176" s="26">
        <f>IFERROR(C176/B176, 0)</f>
        <v/>
      </c>
      <c r="E176" s="26">
        <f>IFERROR((B176-B175)/B175, 0)</f>
        <v/>
      </c>
      <c r="F176" s="16" t="n">
        <v>1677</v>
      </c>
    </row>
    <row r="177">
      <c r="A177" s="17" t="inlineStr">
        <is>
          <t>1984-06</t>
        </is>
      </c>
      <c r="B177" s="19" t="n">
        <v>616676.84</v>
      </c>
      <c r="C177" s="19" t="n">
        <v>232501.02</v>
      </c>
      <c r="D177" s="27">
        <f>IFERROR(C177/B177, 0)</f>
        <v/>
      </c>
      <c r="E177" s="27">
        <f>IFERROR((B177-B176)/B176, 0)</f>
        <v/>
      </c>
      <c r="F177" s="21" t="n">
        <v>1918</v>
      </c>
    </row>
    <row r="178">
      <c r="A178" s="12" t="inlineStr">
        <is>
          <t>1984-07</t>
        </is>
      </c>
      <c r="B178" s="14" t="n">
        <v>660124.02</v>
      </c>
      <c r="C178" s="14" t="n">
        <v>265538.34</v>
      </c>
      <c r="D178" s="26">
        <f>IFERROR(C178/B178, 0)</f>
        <v/>
      </c>
      <c r="E178" s="26">
        <f>IFERROR((B178-B177)/B177, 0)</f>
        <v/>
      </c>
      <c r="F178" s="16" t="n">
        <v>2080</v>
      </c>
    </row>
    <row r="179">
      <c r="A179" s="17" t="inlineStr">
        <is>
          <t>1984-08</t>
        </is>
      </c>
      <c r="B179" s="19" t="n">
        <v>638223.21</v>
      </c>
      <c r="C179" s="19" t="n">
        <v>246611.9</v>
      </c>
      <c r="D179" s="27">
        <f>IFERROR(C179/B179, 0)</f>
        <v/>
      </c>
      <c r="E179" s="27">
        <f>IFERROR((B179-B178)/B178, 0)</f>
        <v/>
      </c>
      <c r="F179" s="21" t="n">
        <v>2056</v>
      </c>
    </row>
    <row r="180">
      <c r="A180" s="12" t="inlineStr">
        <is>
          <t>1984-09</t>
        </is>
      </c>
      <c r="B180" s="14" t="n">
        <v>622475.7</v>
      </c>
      <c r="C180" s="14" t="n">
        <v>240123.49</v>
      </c>
      <c r="D180" s="26">
        <f>IFERROR(C180/B180, 0)</f>
        <v/>
      </c>
      <c r="E180" s="26">
        <f>IFERROR((B180-B179)/B179, 0)</f>
        <v/>
      </c>
      <c r="F180" s="16" t="n">
        <v>1935</v>
      </c>
    </row>
    <row r="181">
      <c r="A181" s="17" t="inlineStr">
        <is>
          <t>1984-10</t>
        </is>
      </c>
      <c r="B181" s="19" t="n">
        <v>657725.1800000001</v>
      </c>
      <c r="C181" s="19" t="n">
        <v>255329.01</v>
      </c>
      <c r="D181" s="27">
        <f>IFERROR(C181/B181, 0)</f>
        <v/>
      </c>
      <c r="E181" s="27">
        <f>IFERROR((B181-B180)/B180, 0)</f>
        <v/>
      </c>
      <c r="F181" s="21" t="n">
        <v>2018</v>
      </c>
    </row>
    <row r="182">
      <c r="A182" s="12" t="inlineStr">
        <is>
          <t>1984-11</t>
        </is>
      </c>
      <c r="B182" s="14" t="n">
        <v>567012.08</v>
      </c>
      <c r="C182" s="14" t="n">
        <v>226490.13</v>
      </c>
      <c r="D182" s="26">
        <f>IFERROR(C182/B182, 0)</f>
        <v/>
      </c>
      <c r="E182" s="26">
        <f>IFERROR((B182-B181)/B181, 0)</f>
        <v/>
      </c>
      <c r="F182" s="16" t="n">
        <v>1815</v>
      </c>
    </row>
    <row r="183">
      <c r="A183" s="17" t="inlineStr">
        <is>
          <t>1984-12</t>
        </is>
      </c>
      <c r="B183" s="19" t="n">
        <v>590717.26</v>
      </c>
      <c r="C183" s="19" t="n">
        <v>237924.98</v>
      </c>
      <c r="D183" s="27">
        <f>IFERROR(C183/B183, 0)</f>
        <v/>
      </c>
      <c r="E183" s="27">
        <f>IFERROR((B183-B182)/B182, 0)</f>
        <v/>
      </c>
      <c r="F183" s="21" t="n">
        <v>1970</v>
      </c>
    </row>
    <row r="184">
      <c r="A184" s="12" t="inlineStr">
        <is>
          <t>1985-01</t>
        </is>
      </c>
      <c r="B184" s="14" t="n">
        <v>605353.45</v>
      </c>
      <c r="C184" s="14" t="n">
        <v>238719.03</v>
      </c>
      <c r="D184" s="26">
        <f>IFERROR(C184/B184, 0)</f>
        <v/>
      </c>
      <c r="E184" s="26">
        <f>IFERROR((B184-B183)/B183, 0)</f>
        <v/>
      </c>
      <c r="F184" s="16" t="n">
        <v>1995</v>
      </c>
    </row>
    <row r="185">
      <c r="A185" s="17" t="inlineStr">
        <is>
          <t>1985-02</t>
        </is>
      </c>
      <c r="B185" s="19" t="n">
        <v>535252.14</v>
      </c>
      <c r="C185" s="19" t="n">
        <v>207577.16</v>
      </c>
      <c r="D185" s="27">
        <f>IFERROR(C185/B185, 0)</f>
        <v/>
      </c>
      <c r="E185" s="27">
        <f>IFERROR((B185-B184)/B184, 0)</f>
        <v/>
      </c>
      <c r="F185" s="21" t="n">
        <v>1773</v>
      </c>
    </row>
    <row r="186">
      <c r="A186" s="12" t="inlineStr">
        <is>
          <t>1985-03</t>
        </is>
      </c>
      <c r="B186" s="14" t="n">
        <v>680783.6899999999</v>
      </c>
      <c r="C186" s="14" t="n">
        <v>268364.78</v>
      </c>
      <c r="D186" s="26">
        <f>IFERROR(C186/B186, 0)</f>
        <v/>
      </c>
      <c r="E186" s="26">
        <f>IFERROR((B186-B185)/B185, 0)</f>
        <v/>
      </c>
      <c r="F186" s="16" t="n">
        <v>2235</v>
      </c>
    </row>
    <row r="187">
      <c r="A187" s="17" t="inlineStr">
        <is>
          <t>1985-04</t>
        </is>
      </c>
      <c r="B187" s="19" t="n">
        <v>615198.2</v>
      </c>
      <c r="C187" s="19" t="n">
        <v>245654.81</v>
      </c>
      <c r="D187" s="27">
        <f>IFERROR(C187/B187, 0)</f>
        <v/>
      </c>
      <c r="E187" s="27">
        <f>IFERROR((B187-B186)/B186, 0)</f>
        <v/>
      </c>
      <c r="F187" s="21" t="n">
        <v>1993</v>
      </c>
    </row>
    <row r="188">
      <c r="A188" s="12" t="inlineStr">
        <is>
          <t>1985-05</t>
        </is>
      </c>
      <c r="B188" s="14" t="n">
        <v>577612.03</v>
      </c>
      <c r="C188" s="14" t="n">
        <v>221636.56</v>
      </c>
      <c r="D188" s="26">
        <f>IFERROR(C188/B188, 0)</f>
        <v/>
      </c>
      <c r="E188" s="26">
        <f>IFERROR((B188-B187)/B187, 0)</f>
        <v/>
      </c>
      <c r="F188" s="16" t="n">
        <v>1740</v>
      </c>
    </row>
    <row r="189">
      <c r="A189" s="17" t="inlineStr">
        <is>
          <t>1985-06</t>
        </is>
      </c>
      <c r="B189" s="19" t="n">
        <v>653621.53</v>
      </c>
      <c r="C189" s="19" t="n">
        <v>261037.92</v>
      </c>
      <c r="D189" s="27">
        <f>IFERROR(C189/B189, 0)</f>
        <v/>
      </c>
      <c r="E189" s="27">
        <f>IFERROR((B189-B188)/B188, 0)</f>
        <v/>
      </c>
      <c r="F189" s="21" t="n">
        <v>2014</v>
      </c>
    </row>
    <row r="190">
      <c r="A190" s="12" t="inlineStr">
        <is>
          <t>1985-07</t>
        </is>
      </c>
      <c r="B190" s="14" t="n">
        <v>641410.61</v>
      </c>
      <c r="C190" s="14" t="n">
        <v>247584.93</v>
      </c>
      <c r="D190" s="26">
        <f>IFERROR(C190/B190, 0)</f>
        <v/>
      </c>
      <c r="E190" s="26">
        <f>IFERROR((B190-B189)/B189, 0)</f>
        <v/>
      </c>
      <c r="F190" s="16" t="n">
        <v>1980</v>
      </c>
    </row>
    <row r="191">
      <c r="A191" s="17" t="inlineStr">
        <is>
          <t>1985-08</t>
        </is>
      </c>
      <c r="B191" s="19" t="n">
        <v>638712.21</v>
      </c>
      <c r="C191" s="19" t="n">
        <v>249602.07</v>
      </c>
      <c r="D191" s="27">
        <f>IFERROR(C191/B191, 0)</f>
        <v/>
      </c>
      <c r="E191" s="27">
        <f>IFERROR((B191-B190)/B190, 0)</f>
        <v/>
      </c>
      <c r="F191" s="21" t="n">
        <v>1933</v>
      </c>
    </row>
    <row r="192">
      <c r="A192" s="12" t="inlineStr">
        <is>
          <t>1985-09</t>
        </is>
      </c>
      <c r="B192" s="14" t="n">
        <v>564665.4300000001</v>
      </c>
      <c r="C192" s="14" t="n">
        <v>228728.07</v>
      </c>
      <c r="D192" s="26">
        <f>IFERROR(C192/B192, 0)</f>
        <v/>
      </c>
      <c r="E192" s="26">
        <f>IFERROR((B192-B191)/B191, 0)</f>
        <v/>
      </c>
      <c r="F192" s="16" t="n">
        <v>1844</v>
      </c>
    </row>
    <row r="193">
      <c r="A193" s="17" t="inlineStr">
        <is>
          <t>1985-10</t>
        </is>
      </c>
      <c r="B193" s="19" t="n">
        <v>709514.36</v>
      </c>
      <c r="C193" s="19" t="n">
        <v>280346.88</v>
      </c>
      <c r="D193" s="27">
        <f>IFERROR(C193/B193, 0)</f>
        <v/>
      </c>
      <c r="E193" s="27">
        <f>IFERROR((B193-B192)/B192, 0)</f>
        <v/>
      </c>
      <c r="F193" s="21" t="n">
        <v>2268</v>
      </c>
    </row>
    <row r="194">
      <c r="A194" s="12" t="inlineStr">
        <is>
          <t>1985-11</t>
        </is>
      </c>
      <c r="B194" s="14" t="n">
        <v>637745.3199999999</v>
      </c>
      <c r="C194" s="14" t="n">
        <v>252972.43</v>
      </c>
      <c r="D194" s="26">
        <f>IFERROR(C194/B194, 0)</f>
        <v/>
      </c>
      <c r="E194" s="26">
        <f>IFERROR((B194-B193)/B193, 0)</f>
        <v/>
      </c>
      <c r="F194" s="16" t="n">
        <v>1896</v>
      </c>
    </row>
    <row r="195">
      <c r="A195" s="17" t="inlineStr">
        <is>
          <t>1985-12</t>
        </is>
      </c>
      <c r="B195" s="19" t="n">
        <v>681176.39</v>
      </c>
      <c r="C195" s="19" t="n">
        <v>268559.46</v>
      </c>
      <c r="D195" s="27">
        <f>IFERROR(C195/B195, 0)</f>
        <v/>
      </c>
      <c r="E195" s="27">
        <f>IFERROR((B195-B194)/B194, 0)</f>
        <v/>
      </c>
      <c r="F195" s="21" t="n">
        <v>2122</v>
      </c>
    </row>
    <row r="196">
      <c r="A196" s="12" t="inlineStr">
        <is>
          <t>1986-01</t>
        </is>
      </c>
      <c r="B196" s="14" t="n">
        <v>557097.11</v>
      </c>
      <c r="C196" s="14" t="n">
        <v>224097.97</v>
      </c>
      <c r="D196" s="26">
        <f>IFERROR(C196/B196, 0)</f>
        <v/>
      </c>
      <c r="E196" s="26">
        <f>IFERROR((B196-B195)/B195, 0)</f>
        <v/>
      </c>
      <c r="F196" s="16" t="n">
        <v>1790</v>
      </c>
    </row>
    <row r="197">
      <c r="A197" s="17" t="inlineStr">
        <is>
          <t>1986-02</t>
        </is>
      </c>
      <c r="B197" s="19" t="n">
        <v>499656.31</v>
      </c>
      <c r="C197" s="19" t="n">
        <v>196144.68</v>
      </c>
      <c r="D197" s="27">
        <f>IFERROR(C197/B197, 0)</f>
        <v/>
      </c>
      <c r="E197" s="27">
        <f>IFERROR((B197-B196)/B196, 0)</f>
        <v/>
      </c>
      <c r="F197" s="21" t="n">
        <v>1581</v>
      </c>
    </row>
    <row r="198">
      <c r="A198" s="12" t="inlineStr">
        <is>
          <t>1986-03</t>
        </is>
      </c>
      <c r="B198" s="14" t="n">
        <v>631045.5699999999</v>
      </c>
      <c r="C198" s="14" t="n">
        <v>249592.98</v>
      </c>
      <c r="D198" s="26">
        <f>IFERROR(C198/B198, 0)</f>
        <v/>
      </c>
      <c r="E198" s="26">
        <f>IFERROR((B198-B197)/B197, 0)</f>
        <v/>
      </c>
      <c r="F198" s="16" t="n">
        <v>1969</v>
      </c>
    </row>
    <row r="199">
      <c r="A199" s="17" t="inlineStr">
        <is>
          <t>1986-04</t>
        </is>
      </c>
      <c r="B199" s="19" t="n">
        <v>580159.01</v>
      </c>
      <c r="C199" s="19" t="n">
        <v>227339.34</v>
      </c>
      <c r="D199" s="27">
        <f>IFERROR(C199/B199, 0)</f>
        <v/>
      </c>
      <c r="E199" s="27">
        <f>IFERROR((B199-B198)/B198, 0)</f>
        <v/>
      </c>
      <c r="F199" s="21" t="n">
        <v>1869</v>
      </c>
    </row>
    <row r="200">
      <c r="A200" s="12" t="inlineStr">
        <is>
          <t>1986-05</t>
        </is>
      </c>
      <c r="B200" s="14" t="n">
        <v>610870.48</v>
      </c>
      <c r="C200" s="14" t="n">
        <v>245719</v>
      </c>
      <c r="D200" s="26">
        <f>IFERROR(C200/B200, 0)</f>
        <v/>
      </c>
      <c r="E200" s="26">
        <f>IFERROR((B200-B199)/B199, 0)</f>
        <v/>
      </c>
      <c r="F200" s="16" t="n">
        <v>1991</v>
      </c>
    </row>
    <row r="201">
      <c r="A201" s="17" t="inlineStr">
        <is>
          <t>1986-06</t>
        </is>
      </c>
      <c r="B201" s="19" t="n">
        <v>603927.74</v>
      </c>
      <c r="C201" s="19" t="n">
        <v>243024.54</v>
      </c>
      <c r="D201" s="27">
        <f>IFERROR(C201/B201, 0)</f>
        <v/>
      </c>
      <c r="E201" s="27">
        <f>IFERROR((B201-B200)/B200, 0)</f>
        <v/>
      </c>
      <c r="F201" s="21" t="n">
        <v>1985</v>
      </c>
    </row>
    <row r="202">
      <c r="A202" s="12" t="inlineStr">
        <is>
          <t>1986-07</t>
        </is>
      </c>
      <c r="B202" s="14" t="n">
        <v>648042.9399999999</v>
      </c>
      <c r="C202" s="14" t="n">
        <v>251829.65</v>
      </c>
      <c r="D202" s="26">
        <f>IFERROR(C202/B202, 0)</f>
        <v/>
      </c>
      <c r="E202" s="26">
        <f>IFERROR((B202-B201)/B201, 0)</f>
        <v/>
      </c>
      <c r="F202" s="16" t="n">
        <v>2024</v>
      </c>
    </row>
    <row r="203">
      <c r="A203" s="17" t="inlineStr">
        <is>
          <t>1986-08</t>
        </is>
      </c>
      <c r="B203" s="19" t="n">
        <v>583825.72</v>
      </c>
      <c r="C203" s="19" t="n">
        <v>231262.81</v>
      </c>
      <c r="D203" s="27">
        <f>IFERROR(C203/B203, 0)</f>
        <v/>
      </c>
      <c r="E203" s="27">
        <f>IFERROR((B203-B202)/B202, 0)</f>
        <v/>
      </c>
      <c r="F203" s="21" t="n">
        <v>1848</v>
      </c>
    </row>
    <row r="204">
      <c r="A204" s="12" t="inlineStr">
        <is>
          <t>1986-09</t>
        </is>
      </c>
      <c r="B204" s="14" t="n">
        <v>601705.71</v>
      </c>
      <c r="C204" s="14" t="n">
        <v>239626.95</v>
      </c>
      <c r="D204" s="26">
        <f>IFERROR(C204/B204, 0)</f>
        <v/>
      </c>
      <c r="E204" s="26">
        <f>IFERROR((B204-B203)/B203, 0)</f>
        <v/>
      </c>
      <c r="F204" s="16" t="n">
        <v>1879</v>
      </c>
    </row>
    <row r="205">
      <c r="A205" s="17" t="inlineStr">
        <is>
          <t>1986-10</t>
        </is>
      </c>
      <c r="B205" s="19" t="n">
        <v>622017.34</v>
      </c>
      <c r="C205" s="19" t="n">
        <v>243653.55</v>
      </c>
      <c r="D205" s="27">
        <f>IFERROR(C205/B205, 0)</f>
        <v/>
      </c>
      <c r="E205" s="27">
        <f>IFERROR((B205-B204)/B204, 0)</f>
        <v/>
      </c>
      <c r="F205" s="21" t="n">
        <v>1999</v>
      </c>
    </row>
    <row r="206">
      <c r="A206" s="12" t="inlineStr">
        <is>
          <t>1986-11</t>
        </is>
      </c>
      <c r="B206" s="14" t="n">
        <v>539442.51</v>
      </c>
      <c r="C206" s="14" t="n">
        <v>215912.98</v>
      </c>
      <c r="D206" s="26">
        <f>IFERROR(C206/B206, 0)</f>
        <v/>
      </c>
      <c r="E206" s="26">
        <f>IFERROR((B206-B205)/B205, 0)</f>
        <v/>
      </c>
      <c r="F206" s="16" t="n">
        <v>1708</v>
      </c>
    </row>
    <row r="207">
      <c r="A207" s="17" t="inlineStr">
        <is>
          <t>1986-12</t>
        </is>
      </c>
      <c r="B207" s="19" t="n">
        <v>548840.12</v>
      </c>
      <c r="C207" s="19" t="n">
        <v>222916.63</v>
      </c>
      <c r="D207" s="27">
        <f>IFERROR(C207/B207, 0)</f>
        <v/>
      </c>
      <c r="E207" s="27">
        <f>IFERROR((B207-B206)/B206, 0)</f>
        <v/>
      </c>
      <c r="F207" s="21" t="n">
        <v>1764</v>
      </c>
    </row>
    <row r="208">
      <c r="A208" s="12" t="inlineStr">
        <is>
          <t>1987-01</t>
        </is>
      </c>
      <c r="B208" s="14" t="n">
        <v>689306.21</v>
      </c>
      <c r="C208" s="14" t="n">
        <v>273466.29</v>
      </c>
      <c r="D208" s="26">
        <f>IFERROR(C208/B208, 0)</f>
        <v/>
      </c>
      <c r="E208" s="26">
        <f>IFERROR((B208-B207)/B207, 0)</f>
        <v/>
      </c>
      <c r="F208" s="16" t="n">
        <v>2009</v>
      </c>
    </row>
    <row r="209">
      <c r="A209" s="17" t="inlineStr">
        <is>
          <t>1987-02</t>
        </is>
      </c>
      <c r="B209" s="19" t="n">
        <v>552149.39</v>
      </c>
      <c r="C209" s="19" t="n">
        <v>218325.6</v>
      </c>
      <c r="D209" s="27">
        <f>IFERROR(C209/B209, 0)</f>
        <v/>
      </c>
      <c r="E209" s="27">
        <f>IFERROR((B209-B208)/B208, 0)</f>
        <v/>
      </c>
      <c r="F209" s="21" t="n">
        <v>1732</v>
      </c>
    </row>
    <row r="210">
      <c r="A210" s="12" t="inlineStr">
        <is>
          <t>1987-03</t>
        </is>
      </c>
      <c r="B210" s="14" t="n">
        <v>585227.2</v>
      </c>
      <c r="C210" s="14" t="n">
        <v>225087.5</v>
      </c>
      <c r="D210" s="26">
        <f>IFERROR(C210/B210, 0)</f>
        <v/>
      </c>
      <c r="E210" s="26">
        <f>IFERROR((B210-B209)/B209, 0)</f>
        <v/>
      </c>
      <c r="F210" s="16" t="n">
        <v>1855</v>
      </c>
    </row>
    <row r="211">
      <c r="A211" s="17" t="inlineStr">
        <is>
          <t>1987-04</t>
        </is>
      </c>
      <c r="B211" s="19" t="n">
        <v>662647.36</v>
      </c>
      <c r="C211" s="19" t="n">
        <v>262097.55</v>
      </c>
      <c r="D211" s="27">
        <f>IFERROR(C211/B211, 0)</f>
        <v/>
      </c>
      <c r="E211" s="27">
        <f>IFERROR((B211-B210)/B210, 0)</f>
        <v/>
      </c>
      <c r="F211" s="21" t="n">
        <v>2102</v>
      </c>
    </row>
    <row r="212">
      <c r="A212" s="12" t="inlineStr">
        <is>
          <t>1987-05</t>
        </is>
      </c>
      <c r="B212" s="14" t="n">
        <v>616778.03</v>
      </c>
      <c r="C212" s="14" t="n">
        <v>243772.21</v>
      </c>
      <c r="D212" s="26">
        <f>IFERROR(C212/B212, 0)</f>
        <v/>
      </c>
      <c r="E212" s="26">
        <f>IFERROR((B212-B211)/B211, 0)</f>
        <v/>
      </c>
      <c r="F212" s="16" t="n">
        <v>2006</v>
      </c>
    </row>
    <row r="213">
      <c r="A213" s="17" t="inlineStr">
        <is>
          <t>1987-06</t>
        </is>
      </c>
      <c r="B213" s="19" t="n">
        <v>579544.41</v>
      </c>
      <c r="C213" s="19" t="n">
        <v>226518.1</v>
      </c>
      <c r="D213" s="27">
        <f>IFERROR(C213/B213, 0)</f>
        <v/>
      </c>
      <c r="E213" s="27">
        <f>IFERROR((B213-B212)/B212, 0)</f>
        <v/>
      </c>
      <c r="F213" s="21" t="n">
        <v>1829</v>
      </c>
    </row>
    <row r="214">
      <c r="A214" s="12" t="inlineStr">
        <is>
          <t>1987-07</t>
        </is>
      </c>
      <c r="B214" s="14" t="n">
        <v>587145.47</v>
      </c>
      <c r="C214" s="14" t="n">
        <v>228436.6</v>
      </c>
      <c r="D214" s="26">
        <f>IFERROR(C214/B214, 0)</f>
        <v/>
      </c>
      <c r="E214" s="26">
        <f>IFERROR((B214-B213)/B213, 0)</f>
        <v/>
      </c>
      <c r="F214" s="16" t="n">
        <v>1821</v>
      </c>
    </row>
    <row r="215">
      <c r="A215" s="17" t="inlineStr">
        <is>
          <t>1987-08</t>
        </is>
      </c>
      <c r="B215" s="19" t="n">
        <v>621864.71</v>
      </c>
      <c r="C215" s="19" t="n">
        <v>244196.67</v>
      </c>
      <c r="D215" s="27">
        <f>IFERROR(C215/B215, 0)</f>
        <v/>
      </c>
      <c r="E215" s="27">
        <f>IFERROR((B215-B214)/B214, 0)</f>
        <v/>
      </c>
      <c r="F215" s="21" t="n">
        <v>1966</v>
      </c>
    </row>
    <row r="216">
      <c r="A216" s="12" t="inlineStr">
        <is>
          <t>1987-09</t>
        </is>
      </c>
      <c r="B216" s="14" t="n">
        <v>629522.9</v>
      </c>
      <c r="C216" s="14" t="n">
        <v>246275.83</v>
      </c>
      <c r="D216" s="26">
        <f>IFERROR(C216/B216, 0)</f>
        <v/>
      </c>
      <c r="E216" s="26">
        <f>IFERROR((B216-B215)/B215, 0)</f>
        <v/>
      </c>
      <c r="F216" s="16" t="n">
        <v>1946</v>
      </c>
    </row>
    <row r="217">
      <c r="A217" s="17" t="inlineStr">
        <is>
          <t>1987-10</t>
        </is>
      </c>
      <c r="B217" s="19" t="n">
        <v>606629.64</v>
      </c>
      <c r="C217" s="19" t="n">
        <v>234451.46</v>
      </c>
      <c r="D217" s="27">
        <f>IFERROR(C217/B217, 0)</f>
        <v/>
      </c>
      <c r="E217" s="27">
        <f>IFERROR((B217-B216)/B216, 0)</f>
        <v/>
      </c>
      <c r="F217" s="21" t="n">
        <v>1862</v>
      </c>
    </row>
    <row r="218">
      <c r="A218" s="12" t="inlineStr">
        <is>
          <t>1987-11</t>
        </is>
      </c>
      <c r="B218" s="14" t="n">
        <v>606110.62</v>
      </c>
      <c r="C218" s="14" t="n">
        <v>242309.2</v>
      </c>
      <c r="D218" s="26">
        <f>IFERROR(C218/B218, 0)</f>
        <v/>
      </c>
      <c r="E218" s="26">
        <f>IFERROR((B218-B217)/B217, 0)</f>
        <v/>
      </c>
      <c r="F218" s="16" t="n">
        <v>1911</v>
      </c>
    </row>
    <row r="219">
      <c r="A219" s="17" t="inlineStr">
        <is>
          <t>1987-12</t>
        </is>
      </c>
      <c r="B219" s="19" t="n">
        <v>613578.45</v>
      </c>
      <c r="C219" s="19" t="n">
        <v>244348.89</v>
      </c>
      <c r="D219" s="27">
        <f>IFERROR(C219/B219, 0)</f>
        <v/>
      </c>
      <c r="E219" s="27">
        <f>IFERROR((B219-B218)/B218, 0)</f>
        <v/>
      </c>
      <c r="F219" s="21" t="n">
        <v>1990</v>
      </c>
    </row>
    <row r="220">
      <c r="A220" s="12" t="inlineStr">
        <is>
          <t>1988-01</t>
        </is>
      </c>
      <c r="B220" s="14" t="n">
        <v>619909.77</v>
      </c>
      <c r="C220" s="14" t="n">
        <v>242072.31</v>
      </c>
      <c r="D220" s="26">
        <f>IFERROR(C220/B220, 0)</f>
        <v/>
      </c>
      <c r="E220" s="26">
        <f>IFERROR((B220-B219)/B219, 0)</f>
        <v/>
      </c>
      <c r="F220" s="16" t="n">
        <v>1927</v>
      </c>
    </row>
    <row r="221">
      <c r="A221" s="17" t="inlineStr">
        <is>
          <t>1988-02</t>
        </is>
      </c>
      <c r="B221" s="19" t="n">
        <v>596397.26</v>
      </c>
      <c r="C221" s="19" t="n">
        <v>232226.29</v>
      </c>
      <c r="D221" s="27">
        <f>IFERROR(C221/B221, 0)</f>
        <v/>
      </c>
      <c r="E221" s="27">
        <f>IFERROR((B221-B220)/B220, 0)</f>
        <v/>
      </c>
      <c r="F221" s="21" t="n">
        <v>1858</v>
      </c>
    </row>
    <row r="222">
      <c r="A222" s="12" t="inlineStr">
        <is>
          <t>1988-03</t>
        </is>
      </c>
      <c r="B222" s="14" t="n">
        <v>601294.04</v>
      </c>
      <c r="C222" s="14" t="n">
        <v>229035.6</v>
      </c>
      <c r="D222" s="26">
        <f>IFERROR(C222/B222, 0)</f>
        <v/>
      </c>
      <c r="E222" s="26">
        <f>IFERROR((B222-B221)/B221, 0)</f>
        <v/>
      </c>
      <c r="F222" s="16" t="n">
        <v>1842</v>
      </c>
    </row>
    <row r="223">
      <c r="A223" s="17" t="inlineStr">
        <is>
          <t>1988-04</t>
        </is>
      </c>
      <c r="B223" s="19" t="n">
        <v>580340.39</v>
      </c>
      <c r="C223" s="19" t="n">
        <v>227201.76</v>
      </c>
      <c r="D223" s="27">
        <f>IFERROR(C223/B223, 0)</f>
        <v/>
      </c>
      <c r="E223" s="27">
        <f>IFERROR((B223-B222)/B222, 0)</f>
        <v/>
      </c>
      <c r="F223" s="21" t="n">
        <v>1874</v>
      </c>
    </row>
    <row r="224">
      <c r="A224" s="12" t="inlineStr">
        <is>
          <t>1988-05</t>
        </is>
      </c>
      <c r="B224" s="14" t="n">
        <v>628757.3199999999</v>
      </c>
      <c r="C224" s="14" t="n">
        <v>251097.01</v>
      </c>
      <c r="D224" s="26">
        <f>IFERROR(C224/B224, 0)</f>
        <v/>
      </c>
      <c r="E224" s="26">
        <f>IFERROR((B224-B223)/B223, 0)</f>
        <v/>
      </c>
      <c r="F224" s="16" t="n">
        <v>2042</v>
      </c>
    </row>
    <row r="225">
      <c r="A225" s="17" t="inlineStr">
        <is>
          <t>1988-06</t>
        </is>
      </c>
      <c r="B225" s="19" t="n">
        <v>566032.1</v>
      </c>
      <c r="C225" s="19" t="n">
        <v>224148.2</v>
      </c>
      <c r="D225" s="27">
        <f>IFERROR(C225/B225, 0)</f>
        <v/>
      </c>
      <c r="E225" s="27">
        <f>IFERROR((B225-B224)/B224, 0)</f>
        <v/>
      </c>
      <c r="F225" s="21" t="n">
        <v>1802</v>
      </c>
    </row>
    <row r="226">
      <c r="A226" s="12" t="inlineStr">
        <is>
          <t>1988-07</t>
        </is>
      </c>
      <c r="B226" s="14" t="n">
        <v>560292.1</v>
      </c>
      <c r="C226" s="14" t="n">
        <v>214662.47</v>
      </c>
      <c r="D226" s="26">
        <f>IFERROR(C226/B226, 0)</f>
        <v/>
      </c>
      <c r="E226" s="26">
        <f>IFERROR((B226-B225)/B225, 0)</f>
        <v/>
      </c>
      <c r="F226" s="16" t="n">
        <v>1657</v>
      </c>
    </row>
    <row r="227">
      <c r="A227" s="17" t="inlineStr">
        <is>
          <t>1988-08</t>
        </is>
      </c>
      <c r="B227" s="19" t="n">
        <v>598724.91</v>
      </c>
      <c r="C227" s="19" t="n">
        <v>231456.12</v>
      </c>
      <c r="D227" s="27">
        <f>IFERROR(C227/B227, 0)</f>
        <v/>
      </c>
      <c r="E227" s="27">
        <f>IFERROR((B227-B226)/B226, 0)</f>
        <v/>
      </c>
      <c r="F227" s="21" t="n">
        <v>1863</v>
      </c>
    </row>
    <row r="228">
      <c r="A228" s="12" t="inlineStr">
        <is>
          <t>1988-09</t>
        </is>
      </c>
      <c r="B228" s="14" t="n">
        <v>640917.47</v>
      </c>
      <c r="C228" s="14" t="n">
        <v>250730.79</v>
      </c>
      <c r="D228" s="26">
        <f>IFERROR(C228/B228, 0)</f>
        <v/>
      </c>
      <c r="E228" s="26">
        <f>IFERROR((B228-B227)/B227, 0)</f>
        <v/>
      </c>
      <c r="F228" s="16" t="n">
        <v>1963</v>
      </c>
    </row>
    <row r="229">
      <c r="A229" s="17" t="inlineStr">
        <is>
          <t>1988-10</t>
        </is>
      </c>
      <c r="B229" s="19" t="n">
        <v>642352.83</v>
      </c>
      <c r="C229" s="19" t="n">
        <v>250403.78</v>
      </c>
      <c r="D229" s="27">
        <f>IFERROR(C229/B229, 0)</f>
        <v/>
      </c>
      <c r="E229" s="27">
        <f>IFERROR((B229-B228)/B228, 0)</f>
        <v/>
      </c>
      <c r="F229" s="21" t="n">
        <v>1992</v>
      </c>
    </row>
    <row r="230">
      <c r="A230" s="12" t="inlineStr">
        <is>
          <t>1988-11</t>
        </is>
      </c>
      <c r="B230" s="14" t="n">
        <v>671096.6</v>
      </c>
      <c r="C230" s="14" t="n">
        <v>267780.1</v>
      </c>
      <c r="D230" s="26">
        <f>IFERROR(C230/B230, 0)</f>
        <v/>
      </c>
      <c r="E230" s="26">
        <f>IFERROR((B230-B229)/B229, 0)</f>
        <v/>
      </c>
      <c r="F230" s="16" t="n">
        <v>2076</v>
      </c>
    </row>
    <row r="231">
      <c r="A231" s="17" t="inlineStr">
        <is>
          <t>1988-12</t>
        </is>
      </c>
      <c r="B231" s="19" t="n">
        <v>654720.63</v>
      </c>
      <c r="C231" s="19" t="n">
        <v>257604.3</v>
      </c>
      <c r="D231" s="27">
        <f>IFERROR(C231/B231, 0)</f>
        <v/>
      </c>
      <c r="E231" s="27">
        <f>IFERROR((B231-B230)/B230, 0)</f>
        <v/>
      </c>
      <c r="F231" s="21" t="n">
        <v>2084</v>
      </c>
    </row>
    <row r="232">
      <c r="A232" s="12" t="inlineStr">
        <is>
          <t>1989-01</t>
        </is>
      </c>
      <c r="B232" s="14" t="n">
        <v>637747.53</v>
      </c>
      <c r="C232" s="14" t="n">
        <v>253850.35</v>
      </c>
      <c r="D232" s="26">
        <f>IFERROR(C232/B232, 0)</f>
        <v/>
      </c>
      <c r="E232" s="26">
        <f>IFERROR((B232-B231)/B231, 0)</f>
        <v/>
      </c>
      <c r="F232" s="16" t="n">
        <v>1975</v>
      </c>
    </row>
    <row r="233">
      <c r="A233" s="17" t="inlineStr">
        <is>
          <t>1989-02</t>
        </is>
      </c>
      <c r="B233" s="19" t="n">
        <v>565855.8100000001</v>
      </c>
      <c r="C233" s="19" t="n">
        <v>224815.71</v>
      </c>
      <c r="D233" s="27">
        <f>IFERROR(C233/B233, 0)</f>
        <v/>
      </c>
      <c r="E233" s="27">
        <f>IFERROR((B233-B232)/B232, 0)</f>
        <v/>
      </c>
      <c r="F233" s="21" t="n">
        <v>1841</v>
      </c>
    </row>
    <row r="234">
      <c r="A234" s="12" t="inlineStr">
        <is>
          <t>1989-03</t>
        </is>
      </c>
      <c r="B234" s="14" t="n">
        <v>607996.15</v>
      </c>
      <c r="C234" s="14" t="n">
        <v>246228.16</v>
      </c>
      <c r="D234" s="26">
        <f>IFERROR(C234/B234, 0)</f>
        <v/>
      </c>
      <c r="E234" s="26">
        <f>IFERROR((B234-B233)/B233, 0)</f>
        <v/>
      </c>
      <c r="F234" s="16" t="n">
        <v>1965</v>
      </c>
    </row>
    <row r="235">
      <c r="A235" s="17" t="inlineStr">
        <is>
          <t>1989-04</t>
        </is>
      </c>
      <c r="B235" s="19" t="n">
        <v>663145.24</v>
      </c>
      <c r="C235" s="19" t="n">
        <v>254401.46</v>
      </c>
      <c r="D235" s="27">
        <f>IFERROR(C235/B235, 0)</f>
        <v/>
      </c>
      <c r="E235" s="27">
        <f>IFERROR((B235-B234)/B234, 0)</f>
        <v/>
      </c>
      <c r="F235" s="21" t="n">
        <v>2005</v>
      </c>
    </row>
    <row r="236">
      <c r="A236" s="12" t="inlineStr">
        <is>
          <t>1989-05</t>
        </is>
      </c>
      <c r="B236" s="14" t="n">
        <v>579752.72</v>
      </c>
      <c r="C236" s="14" t="n">
        <v>231632.57</v>
      </c>
      <c r="D236" s="26">
        <f>IFERROR(C236/B236, 0)</f>
        <v/>
      </c>
      <c r="E236" s="26">
        <f>IFERROR((B236-B235)/B235, 0)</f>
        <v/>
      </c>
      <c r="F236" s="16" t="n">
        <v>1847</v>
      </c>
    </row>
    <row r="237">
      <c r="A237" s="17" t="inlineStr">
        <is>
          <t>1989-06</t>
        </is>
      </c>
      <c r="B237" s="19" t="n">
        <v>588895.4300000001</v>
      </c>
      <c r="C237" s="19" t="n">
        <v>229962.33</v>
      </c>
      <c r="D237" s="27">
        <f>IFERROR(C237/B237, 0)</f>
        <v/>
      </c>
      <c r="E237" s="27">
        <f>IFERROR((B237-B236)/B236, 0)</f>
        <v/>
      </c>
      <c r="F237" s="21" t="n">
        <v>1829</v>
      </c>
    </row>
    <row r="238">
      <c r="A238" s="12" t="inlineStr">
        <is>
          <t>1989-07</t>
        </is>
      </c>
      <c r="B238" s="14" t="n">
        <v>606188.41</v>
      </c>
      <c r="C238" s="14" t="n">
        <v>238525.34</v>
      </c>
      <c r="D238" s="26">
        <f>IFERROR(C238/B238, 0)</f>
        <v/>
      </c>
      <c r="E238" s="26">
        <f>IFERROR((B238-B237)/B237, 0)</f>
        <v/>
      </c>
      <c r="F238" s="16" t="n">
        <v>1992</v>
      </c>
    </row>
    <row r="239">
      <c r="A239" s="17" t="inlineStr">
        <is>
          <t>1989-08</t>
        </is>
      </c>
      <c r="B239" s="19" t="n">
        <v>649456.95</v>
      </c>
      <c r="C239" s="19" t="n">
        <v>249511.14</v>
      </c>
      <c r="D239" s="27">
        <f>IFERROR(C239/B239, 0)</f>
        <v/>
      </c>
      <c r="E239" s="27">
        <f>IFERROR((B239-B238)/B238, 0)</f>
        <v/>
      </c>
      <c r="F239" s="21" t="n">
        <v>1998</v>
      </c>
    </row>
    <row r="240">
      <c r="A240" s="12" t="inlineStr">
        <is>
          <t>1989-09</t>
        </is>
      </c>
      <c r="B240" s="14" t="n">
        <v>532863.65</v>
      </c>
      <c r="C240" s="14" t="n">
        <v>213378.44</v>
      </c>
      <c r="D240" s="26">
        <f>IFERROR(C240/B240, 0)</f>
        <v/>
      </c>
      <c r="E240" s="26">
        <f>IFERROR((B240-B239)/B239, 0)</f>
        <v/>
      </c>
      <c r="F240" s="16" t="n">
        <v>1749</v>
      </c>
    </row>
    <row r="241">
      <c r="A241" s="17" t="inlineStr">
        <is>
          <t>1989-10</t>
        </is>
      </c>
      <c r="B241" s="19" t="n">
        <v>581520.29</v>
      </c>
      <c r="C241" s="19" t="n">
        <v>233791.08</v>
      </c>
      <c r="D241" s="27">
        <f>IFERROR(C241/B241, 0)</f>
        <v/>
      </c>
      <c r="E241" s="27">
        <f>IFERROR((B241-B240)/B240, 0)</f>
        <v/>
      </c>
      <c r="F241" s="21" t="n">
        <v>1932</v>
      </c>
    </row>
    <row r="242">
      <c r="A242" s="12" t="inlineStr">
        <is>
          <t>1989-11</t>
        </is>
      </c>
      <c r="B242" s="14" t="n">
        <v>555260.8199999999</v>
      </c>
      <c r="C242" s="14" t="n">
        <v>211751.98</v>
      </c>
      <c r="D242" s="26">
        <f>IFERROR(C242/B242, 0)</f>
        <v/>
      </c>
      <c r="E242" s="26">
        <f>IFERROR((B242-B241)/B241, 0)</f>
        <v/>
      </c>
      <c r="F242" s="16" t="n">
        <v>1757</v>
      </c>
    </row>
    <row r="243">
      <c r="A243" s="17" t="inlineStr">
        <is>
          <t>1989-12</t>
        </is>
      </c>
      <c r="B243" s="19" t="n">
        <v>621063.09</v>
      </c>
      <c r="C243" s="19" t="n">
        <v>249413.42</v>
      </c>
      <c r="D243" s="27">
        <f>IFERROR(C243/B243, 0)</f>
        <v/>
      </c>
      <c r="E243" s="27">
        <f>IFERROR((B243-B242)/B242, 0)</f>
        <v/>
      </c>
      <c r="F243" s="21" t="n">
        <v>1915</v>
      </c>
    </row>
    <row r="244">
      <c r="A244" s="12" t="inlineStr">
        <is>
          <t>1990-01</t>
        </is>
      </c>
      <c r="B244" s="14" t="n">
        <v>645019.9300000001</v>
      </c>
      <c r="C244" s="14" t="n">
        <v>258026.38</v>
      </c>
      <c r="D244" s="26">
        <f>IFERROR(C244/B244, 0)</f>
        <v/>
      </c>
      <c r="E244" s="26">
        <f>IFERROR((B244-B243)/B243, 0)</f>
        <v/>
      </c>
      <c r="F244" s="16" t="n">
        <v>2079</v>
      </c>
    </row>
    <row r="245">
      <c r="A245" s="17" t="inlineStr">
        <is>
          <t>1990-02</t>
        </is>
      </c>
      <c r="B245" s="19" t="n">
        <v>496725.65</v>
      </c>
      <c r="C245" s="19" t="n">
        <v>192181.22</v>
      </c>
      <c r="D245" s="27">
        <f>IFERROR(C245/B245, 0)</f>
        <v/>
      </c>
      <c r="E245" s="27">
        <f>IFERROR((B245-B244)/B244, 0)</f>
        <v/>
      </c>
      <c r="F245" s="21" t="n">
        <v>1601</v>
      </c>
    </row>
    <row r="246">
      <c r="A246" s="12" t="inlineStr">
        <is>
          <t>1990-03</t>
        </is>
      </c>
      <c r="B246" s="14" t="n">
        <v>607853.16</v>
      </c>
      <c r="C246" s="14" t="n">
        <v>236403.56</v>
      </c>
      <c r="D246" s="26">
        <f>IFERROR(C246/B246, 0)</f>
        <v/>
      </c>
      <c r="E246" s="26">
        <f>IFERROR((B246-B245)/B245, 0)</f>
        <v/>
      </c>
      <c r="F246" s="16" t="n">
        <v>1873</v>
      </c>
    </row>
    <row r="247">
      <c r="A247" s="17" t="inlineStr">
        <is>
          <t>1990-04</t>
        </is>
      </c>
      <c r="B247" s="19" t="n">
        <v>644885.71</v>
      </c>
      <c r="C247" s="19" t="n">
        <v>257357.49</v>
      </c>
      <c r="D247" s="27">
        <f>IFERROR(C247/B247, 0)</f>
        <v/>
      </c>
      <c r="E247" s="27">
        <f>IFERROR((B247-B246)/B246, 0)</f>
        <v/>
      </c>
      <c r="F247" s="21" t="n">
        <v>1974</v>
      </c>
    </row>
    <row r="248">
      <c r="A248" s="12" t="inlineStr">
        <is>
          <t>1990-05</t>
        </is>
      </c>
      <c r="B248" s="14" t="n">
        <v>704763.09</v>
      </c>
      <c r="C248" s="14" t="n">
        <v>281140.1</v>
      </c>
      <c r="D248" s="26">
        <f>IFERROR(C248/B248, 0)</f>
        <v/>
      </c>
      <c r="E248" s="26">
        <f>IFERROR((B248-B247)/B247, 0)</f>
        <v/>
      </c>
      <c r="F248" s="16" t="n">
        <v>2088</v>
      </c>
    </row>
    <row r="249">
      <c r="A249" s="17" t="inlineStr">
        <is>
          <t>1990-06</t>
        </is>
      </c>
      <c r="B249" s="19" t="n">
        <v>613728.22</v>
      </c>
      <c r="C249" s="19" t="n">
        <v>249668.13</v>
      </c>
      <c r="D249" s="27">
        <f>IFERROR(C249/B249, 0)</f>
        <v/>
      </c>
      <c r="E249" s="27">
        <f>IFERROR((B249-B248)/B248, 0)</f>
        <v/>
      </c>
      <c r="F249" s="21" t="n">
        <v>1902</v>
      </c>
    </row>
    <row r="250">
      <c r="A250" s="12" t="inlineStr">
        <is>
          <t>1990-07</t>
        </is>
      </c>
      <c r="B250" s="14" t="n">
        <v>588304.6899999999</v>
      </c>
      <c r="C250" s="14" t="n">
        <v>238253.18</v>
      </c>
      <c r="D250" s="26">
        <f>IFERROR(C250/B250, 0)</f>
        <v/>
      </c>
      <c r="E250" s="26">
        <f>IFERROR((B250-B249)/B249, 0)</f>
        <v/>
      </c>
      <c r="F250" s="16" t="n">
        <v>1929</v>
      </c>
    </row>
    <row r="251">
      <c r="A251" s="17" t="inlineStr">
        <is>
          <t>1990-08</t>
        </is>
      </c>
      <c r="B251" s="19" t="n">
        <v>661028.8</v>
      </c>
      <c r="C251" s="19" t="n">
        <v>267659.33</v>
      </c>
      <c r="D251" s="27">
        <f>IFERROR(C251/B251, 0)</f>
        <v/>
      </c>
      <c r="E251" s="27">
        <f>IFERROR((B251-B250)/B250, 0)</f>
        <v/>
      </c>
      <c r="F251" s="21" t="n">
        <v>2134</v>
      </c>
    </row>
    <row r="252">
      <c r="A252" s="12" t="inlineStr">
        <is>
          <t>1990-09</t>
        </is>
      </c>
      <c r="B252" s="14" t="n">
        <v>534866.73</v>
      </c>
      <c r="C252" s="14" t="n">
        <v>215568.47</v>
      </c>
      <c r="D252" s="26">
        <f>IFERROR(C252/B252, 0)</f>
        <v/>
      </c>
      <c r="E252" s="26">
        <f>IFERROR((B252-B251)/B251, 0)</f>
        <v/>
      </c>
      <c r="F252" s="16" t="n">
        <v>1738</v>
      </c>
    </row>
    <row r="253">
      <c r="A253" s="17" t="inlineStr">
        <is>
          <t>1990-10</t>
        </is>
      </c>
      <c r="B253" s="19" t="n">
        <v>586311.5</v>
      </c>
      <c r="C253" s="19" t="n">
        <v>228172.92</v>
      </c>
      <c r="D253" s="27">
        <f>IFERROR(C253/B253, 0)</f>
        <v/>
      </c>
      <c r="E253" s="27">
        <f>IFERROR((B253-B252)/B252, 0)</f>
        <v/>
      </c>
      <c r="F253" s="21" t="n">
        <v>1800</v>
      </c>
    </row>
    <row r="254">
      <c r="A254" s="12" t="inlineStr">
        <is>
          <t>1990-11</t>
        </is>
      </c>
      <c r="B254" s="14" t="n">
        <v>628759.47</v>
      </c>
      <c r="C254" s="14" t="n">
        <v>256884.09</v>
      </c>
      <c r="D254" s="26">
        <f>IFERROR(C254/B254, 0)</f>
        <v/>
      </c>
      <c r="E254" s="26">
        <f>IFERROR((B254-B253)/B253, 0)</f>
        <v/>
      </c>
      <c r="F254" s="16" t="n">
        <v>2037</v>
      </c>
    </row>
    <row r="255">
      <c r="A255" s="17" t="inlineStr">
        <is>
          <t>1990-12</t>
        </is>
      </c>
      <c r="B255" s="19" t="n">
        <v>626765.08</v>
      </c>
      <c r="C255" s="19" t="n">
        <v>244758.74</v>
      </c>
      <c r="D255" s="27">
        <f>IFERROR(C255/B255, 0)</f>
        <v/>
      </c>
      <c r="E255" s="27">
        <f>IFERROR((B255-B254)/B254, 0)</f>
        <v/>
      </c>
      <c r="F255" s="21" t="n">
        <v>1945</v>
      </c>
    </row>
    <row r="256">
      <c r="A256" s="12" t="inlineStr">
        <is>
          <t>1991-01</t>
        </is>
      </c>
      <c r="B256" s="14" t="n">
        <v>657574.26</v>
      </c>
      <c r="C256" s="14" t="n">
        <v>260849.93</v>
      </c>
      <c r="D256" s="26">
        <f>IFERROR(C256/B256, 0)</f>
        <v/>
      </c>
      <c r="E256" s="26">
        <f>IFERROR((B256-B255)/B255, 0)</f>
        <v/>
      </c>
      <c r="F256" s="16" t="n">
        <v>2030</v>
      </c>
    </row>
    <row r="257">
      <c r="A257" s="17" t="inlineStr">
        <is>
          <t>1991-02</t>
        </is>
      </c>
      <c r="B257" s="19" t="n">
        <v>553732.16</v>
      </c>
      <c r="C257" s="19" t="n">
        <v>221937.25</v>
      </c>
      <c r="D257" s="27">
        <f>IFERROR(C257/B257, 0)</f>
        <v/>
      </c>
      <c r="E257" s="27">
        <f>IFERROR((B257-B256)/B256, 0)</f>
        <v/>
      </c>
      <c r="F257" s="21" t="n">
        <v>1729</v>
      </c>
    </row>
    <row r="258">
      <c r="A258" s="12" t="inlineStr">
        <is>
          <t>1991-03</t>
        </is>
      </c>
      <c r="B258" s="14" t="n">
        <v>561062.87</v>
      </c>
      <c r="C258" s="14" t="n">
        <v>217536.84</v>
      </c>
      <c r="D258" s="26">
        <f>IFERROR(C258/B258, 0)</f>
        <v/>
      </c>
      <c r="E258" s="26">
        <f>IFERROR((B258-B257)/B257, 0)</f>
        <v/>
      </c>
      <c r="F258" s="16" t="n">
        <v>1793</v>
      </c>
    </row>
    <row r="259">
      <c r="A259" s="17" t="inlineStr">
        <is>
          <t>1991-04</t>
        </is>
      </c>
      <c r="B259" s="19" t="n">
        <v>581498.4</v>
      </c>
      <c r="C259" s="19" t="n">
        <v>227976.61</v>
      </c>
      <c r="D259" s="27">
        <f>IFERROR(C259/B259, 0)</f>
        <v/>
      </c>
      <c r="E259" s="27">
        <f>IFERROR((B259-B258)/B258, 0)</f>
        <v/>
      </c>
      <c r="F259" s="21" t="n">
        <v>1945</v>
      </c>
    </row>
    <row r="260">
      <c r="A260" s="12" t="inlineStr">
        <is>
          <t>1991-05</t>
        </is>
      </c>
      <c r="B260" s="14" t="n">
        <v>699807.14</v>
      </c>
      <c r="C260" s="14" t="n">
        <v>275574.88</v>
      </c>
      <c r="D260" s="26">
        <f>IFERROR(C260/B260, 0)</f>
        <v/>
      </c>
      <c r="E260" s="26">
        <f>IFERROR((B260-B259)/B259, 0)</f>
        <v/>
      </c>
      <c r="F260" s="16" t="n">
        <v>2074</v>
      </c>
    </row>
    <row r="261">
      <c r="A261" s="17" t="inlineStr">
        <is>
          <t>1991-06</t>
        </is>
      </c>
      <c r="B261" s="19" t="n">
        <v>577671.13</v>
      </c>
      <c r="C261" s="19" t="n">
        <v>224847.8</v>
      </c>
      <c r="D261" s="27">
        <f>IFERROR(C261/B261, 0)</f>
        <v/>
      </c>
      <c r="E261" s="27">
        <f>IFERROR((B261-B260)/B260, 0)</f>
        <v/>
      </c>
      <c r="F261" s="21" t="n">
        <v>1795</v>
      </c>
    </row>
    <row r="262">
      <c r="A262" s="12" t="inlineStr">
        <is>
          <t>1991-07</t>
        </is>
      </c>
      <c r="B262" s="14" t="n">
        <v>607802.11</v>
      </c>
      <c r="C262" s="14" t="n">
        <v>237949.65</v>
      </c>
      <c r="D262" s="26">
        <f>IFERROR(C262/B262, 0)</f>
        <v/>
      </c>
      <c r="E262" s="26">
        <f>IFERROR((B262-B261)/B261, 0)</f>
        <v/>
      </c>
      <c r="F262" s="16" t="n">
        <v>1985</v>
      </c>
    </row>
    <row r="263">
      <c r="A263" s="17" t="inlineStr">
        <is>
          <t>1991-08</t>
        </is>
      </c>
      <c r="B263" s="19" t="n">
        <v>677231.01</v>
      </c>
      <c r="C263" s="19" t="n">
        <v>268218.2</v>
      </c>
      <c r="D263" s="27">
        <f>IFERROR(C263/B263, 0)</f>
        <v/>
      </c>
      <c r="E263" s="27">
        <f>IFERROR((B263-B262)/B262, 0)</f>
        <v/>
      </c>
      <c r="F263" s="21" t="n">
        <v>2113</v>
      </c>
    </row>
    <row r="264">
      <c r="A264" s="12" t="inlineStr">
        <is>
          <t>1991-09</t>
        </is>
      </c>
      <c r="B264" s="14" t="n">
        <v>678995.4300000001</v>
      </c>
      <c r="C264" s="14" t="n">
        <v>265777.25</v>
      </c>
      <c r="D264" s="26">
        <f>IFERROR(C264/B264, 0)</f>
        <v/>
      </c>
      <c r="E264" s="26">
        <f>IFERROR((B264-B263)/B263, 0)</f>
        <v/>
      </c>
      <c r="F264" s="16" t="n">
        <v>2064</v>
      </c>
    </row>
    <row r="265">
      <c r="A265" s="17" t="inlineStr">
        <is>
          <t>1991-10</t>
        </is>
      </c>
      <c r="B265" s="19" t="n">
        <v>564710.17</v>
      </c>
      <c r="C265" s="19" t="n">
        <v>216308.87</v>
      </c>
      <c r="D265" s="27">
        <f>IFERROR(C265/B265, 0)</f>
        <v/>
      </c>
      <c r="E265" s="27">
        <f>IFERROR((B265-B264)/B264, 0)</f>
        <v/>
      </c>
      <c r="F265" s="21" t="n">
        <v>1815</v>
      </c>
    </row>
    <row r="266">
      <c r="A266" s="12" t="inlineStr">
        <is>
          <t>1991-11</t>
        </is>
      </c>
      <c r="B266" s="14" t="n">
        <v>614763.9300000001</v>
      </c>
      <c r="C266" s="14" t="n">
        <v>240396.49</v>
      </c>
      <c r="D266" s="26">
        <f>IFERROR(C266/B266, 0)</f>
        <v/>
      </c>
      <c r="E266" s="26">
        <f>IFERROR((B266-B265)/B265, 0)</f>
        <v/>
      </c>
      <c r="F266" s="16" t="n">
        <v>1883</v>
      </c>
    </row>
    <row r="267">
      <c r="A267" s="17" t="inlineStr">
        <is>
          <t>1991-12</t>
        </is>
      </c>
      <c r="B267" s="19" t="n">
        <v>586941.04</v>
      </c>
      <c r="C267" s="19" t="n">
        <v>232245.47</v>
      </c>
      <c r="D267" s="27">
        <f>IFERROR(C267/B267, 0)</f>
        <v/>
      </c>
      <c r="E267" s="27">
        <f>IFERROR((B267-B266)/B266, 0)</f>
        <v/>
      </c>
      <c r="F267" s="21" t="n">
        <v>1920</v>
      </c>
    </row>
    <row r="268">
      <c r="A268" s="12" t="inlineStr">
        <is>
          <t>1992-01</t>
        </is>
      </c>
      <c r="B268" s="14" t="n">
        <v>681630.98</v>
      </c>
      <c r="C268" s="14" t="n">
        <v>267486.04</v>
      </c>
      <c r="D268" s="26">
        <f>IFERROR(C268/B268, 0)</f>
        <v/>
      </c>
      <c r="E268" s="26">
        <f>IFERROR((B268-B267)/B267, 0)</f>
        <v/>
      </c>
      <c r="F268" s="16" t="n">
        <v>2057</v>
      </c>
    </row>
    <row r="269">
      <c r="A269" s="17" t="inlineStr">
        <is>
          <t>1992-02</t>
        </is>
      </c>
      <c r="B269" s="19" t="n">
        <v>598196.35</v>
      </c>
      <c r="C269" s="19" t="n">
        <v>238647.02</v>
      </c>
      <c r="D269" s="27">
        <f>IFERROR(C269/B269, 0)</f>
        <v/>
      </c>
      <c r="E269" s="27">
        <f>IFERROR((B269-B268)/B268, 0)</f>
        <v/>
      </c>
      <c r="F269" s="21" t="n">
        <v>1886</v>
      </c>
    </row>
    <row r="270">
      <c r="A270" s="12" t="inlineStr">
        <is>
          <t>1992-03</t>
        </is>
      </c>
      <c r="B270" s="14" t="n">
        <v>684473.1</v>
      </c>
      <c r="C270" s="14" t="n">
        <v>264086</v>
      </c>
      <c r="D270" s="26">
        <f>IFERROR(C270/B270, 0)</f>
        <v/>
      </c>
      <c r="E270" s="26">
        <f>IFERROR((B270-B269)/B269, 0)</f>
        <v/>
      </c>
      <c r="F270" s="16" t="n">
        <v>2121</v>
      </c>
    </row>
    <row r="271">
      <c r="A271" s="17" t="inlineStr">
        <is>
          <t>1992-04</t>
        </is>
      </c>
      <c r="B271" s="19" t="n">
        <v>600367.8</v>
      </c>
      <c r="C271" s="19" t="n">
        <v>239314.46</v>
      </c>
      <c r="D271" s="27">
        <f>IFERROR(C271/B271, 0)</f>
        <v/>
      </c>
      <c r="E271" s="27">
        <f>IFERROR((B271-B270)/B270, 0)</f>
        <v/>
      </c>
      <c r="F271" s="21" t="n">
        <v>1808</v>
      </c>
    </row>
    <row r="272">
      <c r="A272" s="12" t="inlineStr">
        <is>
          <t>1992-05</t>
        </is>
      </c>
      <c r="B272" s="14" t="n">
        <v>653966.11</v>
      </c>
      <c r="C272" s="14" t="n">
        <v>258111.04</v>
      </c>
      <c r="D272" s="26">
        <f>IFERROR(C272/B272, 0)</f>
        <v/>
      </c>
      <c r="E272" s="26">
        <f>IFERROR((B272-B271)/B271, 0)</f>
        <v/>
      </c>
      <c r="F272" s="16" t="n">
        <v>2017</v>
      </c>
    </row>
    <row r="273">
      <c r="A273" s="17" t="inlineStr">
        <is>
          <t>1992-06</t>
        </is>
      </c>
      <c r="B273" s="19" t="n">
        <v>600302.25</v>
      </c>
      <c r="C273" s="19" t="n">
        <v>234154.09</v>
      </c>
      <c r="D273" s="27">
        <f>IFERROR(C273/B273, 0)</f>
        <v/>
      </c>
      <c r="E273" s="27">
        <f>IFERROR((B273-B272)/B272, 0)</f>
        <v/>
      </c>
      <c r="F273" s="21" t="n">
        <v>1973</v>
      </c>
    </row>
    <row r="274">
      <c r="A274" s="12" t="inlineStr">
        <is>
          <t>1992-07</t>
        </is>
      </c>
      <c r="B274" s="14" t="n">
        <v>528914.4300000001</v>
      </c>
      <c r="C274" s="14" t="n">
        <v>211405.59</v>
      </c>
      <c r="D274" s="26">
        <f>IFERROR(C274/B274, 0)</f>
        <v/>
      </c>
      <c r="E274" s="26">
        <f>IFERROR((B274-B273)/B273, 0)</f>
        <v/>
      </c>
      <c r="F274" s="16" t="n">
        <v>1693</v>
      </c>
    </row>
    <row r="275">
      <c r="A275" s="17" t="inlineStr">
        <is>
          <t>1992-08</t>
        </is>
      </c>
      <c r="B275" s="19" t="n">
        <v>660701.34</v>
      </c>
      <c r="C275" s="19" t="n">
        <v>261591.53</v>
      </c>
      <c r="D275" s="27">
        <f>IFERROR(C275/B275, 0)</f>
        <v/>
      </c>
      <c r="E275" s="27">
        <f>IFERROR((B275-B274)/B274, 0)</f>
        <v/>
      </c>
      <c r="F275" s="21" t="n">
        <v>2012</v>
      </c>
    </row>
    <row r="276">
      <c r="A276" s="12" t="inlineStr">
        <is>
          <t>1992-09</t>
        </is>
      </c>
      <c r="B276" s="14" t="n">
        <v>660624.98</v>
      </c>
      <c r="C276" s="14" t="n">
        <v>260946.71</v>
      </c>
      <c r="D276" s="26">
        <f>IFERROR(C276/B276, 0)</f>
        <v/>
      </c>
      <c r="E276" s="26">
        <f>IFERROR((B276-B275)/B275, 0)</f>
        <v/>
      </c>
      <c r="F276" s="16" t="n">
        <v>2097</v>
      </c>
    </row>
    <row r="277">
      <c r="A277" s="17" t="inlineStr">
        <is>
          <t>1992-10</t>
        </is>
      </c>
      <c r="B277" s="19" t="n">
        <v>622535.8199999999</v>
      </c>
      <c r="C277" s="19" t="n">
        <v>246822.48</v>
      </c>
      <c r="D277" s="27">
        <f>IFERROR(C277/B277, 0)</f>
        <v/>
      </c>
      <c r="E277" s="27">
        <f>IFERROR((B277-B276)/B276, 0)</f>
        <v/>
      </c>
      <c r="F277" s="21" t="n">
        <v>1958</v>
      </c>
    </row>
    <row r="278">
      <c r="A278" s="12" t="inlineStr">
        <is>
          <t>1992-11</t>
        </is>
      </c>
      <c r="B278" s="14" t="n">
        <v>509377.49</v>
      </c>
      <c r="C278" s="14" t="n">
        <v>205040.71</v>
      </c>
      <c r="D278" s="26">
        <f>IFERROR(C278/B278, 0)</f>
        <v/>
      </c>
      <c r="E278" s="26">
        <f>IFERROR((B278-B277)/B277, 0)</f>
        <v/>
      </c>
      <c r="F278" s="16" t="n">
        <v>1700</v>
      </c>
    </row>
    <row r="279">
      <c r="A279" s="17" t="inlineStr">
        <is>
          <t>1992-12</t>
        </is>
      </c>
      <c r="B279" s="19" t="n">
        <v>659406.13</v>
      </c>
      <c r="C279" s="19" t="n">
        <v>255233.53</v>
      </c>
      <c r="D279" s="27">
        <f>IFERROR(C279/B279, 0)</f>
        <v/>
      </c>
      <c r="E279" s="27">
        <f>IFERROR((B279-B278)/B278, 0)</f>
        <v/>
      </c>
      <c r="F279" s="21" t="n">
        <v>2019</v>
      </c>
    </row>
    <row r="280">
      <c r="A280" s="12" t="inlineStr">
        <is>
          <t>1993-01</t>
        </is>
      </c>
      <c r="B280" s="14" t="n">
        <v>628912.65</v>
      </c>
      <c r="C280" s="14" t="n">
        <v>250135.92</v>
      </c>
      <c r="D280" s="26">
        <f>IFERROR(C280/B280, 0)</f>
        <v/>
      </c>
      <c r="E280" s="26">
        <f>IFERROR((B280-B279)/B279, 0)</f>
        <v/>
      </c>
      <c r="F280" s="16" t="n">
        <v>1968</v>
      </c>
    </row>
    <row r="281">
      <c r="A281" s="17" t="inlineStr">
        <is>
          <t>1993-02</t>
        </is>
      </c>
      <c r="B281" s="19" t="n">
        <v>702840.63</v>
      </c>
      <c r="C281" s="19" t="n">
        <v>284959.86</v>
      </c>
      <c r="D281" s="27">
        <f>IFERROR(C281/B281, 0)</f>
        <v/>
      </c>
      <c r="E281" s="27">
        <f>IFERROR((B281-B280)/B280, 0)</f>
        <v/>
      </c>
      <c r="F281" s="21" t="n">
        <v>2109</v>
      </c>
    </row>
    <row r="282">
      <c r="A282" s="12" t="inlineStr">
        <is>
          <t>1993-03</t>
        </is>
      </c>
      <c r="B282" s="14" t="n">
        <v>670048.88</v>
      </c>
      <c r="C282" s="14" t="n">
        <v>265787.61</v>
      </c>
      <c r="D282" s="26">
        <f>IFERROR(C282/B282, 0)</f>
        <v/>
      </c>
      <c r="E282" s="26">
        <f>IFERROR((B282-B281)/B281, 0)</f>
        <v/>
      </c>
      <c r="F282" s="16" t="n">
        <v>2038</v>
      </c>
    </row>
    <row r="283">
      <c r="A283" s="17" t="inlineStr">
        <is>
          <t>1993-04</t>
        </is>
      </c>
      <c r="B283" s="19" t="n">
        <v>651286.1899999999</v>
      </c>
      <c r="C283" s="19" t="n">
        <v>254088.78</v>
      </c>
      <c r="D283" s="27">
        <f>IFERROR(C283/B283, 0)</f>
        <v/>
      </c>
      <c r="E283" s="27">
        <f>IFERROR((B283-B282)/B282, 0)</f>
        <v/>
      </c>
      <c r="F283" s="21" t="n">
        <v>1954</v>
      </c>
    </row>
    <row r="284">
      <c r="A284" s="12" t="inlineStr">
        <is>
          <t>1993-05</t>
        </is>
      </c>
      <c r="B284" s="14" t="n">
        <v>618662.4</v>
      </c>
      <c r="C284" s="14" t="n">
        <v>247322.09</v>
      </c>
      <c r="D284" s="26">
        <f>IFERROR(C284/B284, 0)</f>
        <v/>
      </c>
      <c r="E284" s="26">
        <f>IFERROR((B284-B283)/B283, 0)</f>
        <v/>
      </c>
      <c r="F284" s="16" t="n">
        <v>1976</v>
      </c>
    </row>
    <row r="285">
      <c r="A285" s="17" t="inlineStr">
        <is>
          <t>1993-06</t>
        </is>
      </c>
      <c r="B285" s="19" t="n">
        <v>618159.85</v>
      </c>
      <c r="C285" s="19" t="n">
        <v>240174.27</v>
      </c>
      <c r="D285" s="27">
        <f>IFERROR(C285/B285, 0)</f>
        <v/>
      </c>
      <c r="E285" s="27">
        <f>IFERROR((B285-B284)/B284, 0)</f>
        <v/>
      </c>
      <c r="F285" s="21" t="n">
        <v>1875</v>
      </c>
    </row>
    <row r="286">
      <c r="A286" s="12" t="inlineStr">
        <is>
          <t>1993-07</t>
        </is>
      </c>
      <c r="B286" s="14" t="n">
        <v>586289.41</v>
      </c>
      <c r="C286" s="14" t="n">
        <v>238946.66</v>
      </c>
      <c r="D286" s="26">
        <f>IFERROR(C286/B286, 0)</f>
        <v/>
      </c>
      <c r="E286" s="26">
        <f>IFERROR((B286-B285)/B285, 0)</f>
        <v/>
      </c>
      <c r="F286" s="16" t="n">
        <v>1907</v>
      </c>
    </row>
    <row r="287">
      <c r="A287" s="17" t="inlineStr">
        <is>
          <t>1993-08</t>
        </is>
      </c>
      <c r="B287" s="19" t="n">
        <v>626097.04</v>
      </c>
      <c r="C287" s="19" t="n">
        <v>244171.76</v>
      </c>
      <c r="D287" s="27">
        <f>IFERROR(C287/B287, 0)</f>
        <v/>
      </c>
      <c r="E287" s="27">
        <f>IFERROR((B287-B286)/B286, 0)</f>
        <v/>
      </c>
      <c r="F287" s="21" t="n">
        <v>1969</v>
      </c>
    </row>
    <row r="288">
      <c r="A288" s="12" t="inlineStr">
        <is>
          <t>1993-09</t>
        </is>
      </c>
      <c r="B288" s="14" t="n">
        <v>724862.12</v>
      </c>
      <c r="C288" s="14" t="n">
        <v>289029.28</v>
      </c>
      <c r="D288" s="26">
        <f>IFERROR(C288/B288, 0)</f>
        <v/>
      </c>
      <c r="E288" s="26">
        <f>IFERROR((B288-B287)/B287, 0)</f>
        <v/>
      </c>
      <c r="F288" s="16" t="n">
        <v>2246</v>
      </c>
    </row>
    <row r="289">
      <c r="A289" s="17" t="inlineStr">
        <is>
          <t>1993-10</t>
        </is>
      </c>
      <c r="B289" s="19" t="n">
        <v>565871.35</v>
      </c>
      <c r="C289" s="19" t="n">
        <v>219617.08</v>
      </c>
      <c r="D289" s="27">
        <f>IFERROR(C289/B289, 0)</f>
        <v/>
      </c>
      <c r="E289" s="27">
        <f>IFERROR((B289-B288)/B288, 0)</f>
        <v/>
      </c>
      <c r="F289" s="21" t="n">
        <v>1785</v>
      </c>
    </row>
    <row r="290">
      <c r="A290" s="12" t="inlineStr">
        <is>
          <t>1993-11</t>
        </is>
      </c>
      <c r="B290" s="14" t="n">
        <v>618034.05</v>
      </c>
      <c r="C290" s="14" t="n">
        <v>237483.54</v>
      </c>
      <c r="D290" s="26">
        <f>IFERROR(C290/B290, 0)</f>
        <v/>
      </c>
      <c r="E290" s="26">
        <f>IFERROR((B290-B289)/B289, 0)</f>
        <v/>
      </c>
      <c r="F290" s="16" t="n">
        <v>1868</v>
      </c>
    </row>
    <row r="291">
      <c r="A291" s="17" t="inlineStr">
        <is>
          <t>1993-12</t>
        </is>
      </c>
      <c r="B291" s="19" t="n">
        <v>558661.3100000001</v>
      </c>
      <c r="C291" s="19" t="n">
        <v>217452.21</v>
      </c>
      <c r="D291" s="27">
        <f>IFERROR(C291/B291, 0)</f>
        <v/>
      </c>
      <c r="E291" s="27">
        <f>IFERROR((B291-B290)/B290, 0)</f>
        <v/>
      </c>
      <c r="F291" s="21" t="n">
        <v>1795</v>
      </c>
    </row>
    <row r="292">
      <c r="A292" s="12" t="inlineStr">
        <is>
          <t>1994-01</t>
        </is>
      </c>
      <c r="B292" s="14" t="n">
        <v>571968.3199999999</v>
      </c>
      <c r="C292" s="14" t="n">
        <v>224180.81</v>
      </c>
      <c r="D292" s="26">
        <f>IFERROR(C292/B292, 0)</f>
        <v/>
      </c>
      <c r="E292" s="26">
        <f>IFERROR((B292-B291)/B291, 0)</f>
        <v/>
      </c>
      <c r="F292" s="16" t="n">
        <v>1803</v>
      </c>
    </row>
    <row r="293">
      <c r="A293" s="17" t="inlineStr">
        <is>
          <t>1994-02</t>
        </is>
      </c>
      <c r="B293" s="19" t="n">
        <v>523079.92</v>
      </c>
      <c r="C293" s="19" t="n">
        <v>203099.37</v>
      </c>
      <c r="D293" s="27">
        <f>IFERROR(C293/B293, 0)</f>
        <v/>
      </c>
      <c r="E293" s="27">
        <f>IFERROR((B293-B292)/B292, 0)</f>
        <v/>
      </c>
      <c r="F293" s="21" t="n">
        <v>1652</v>
      </c>
    </row>
    <row r="294">
      <c r="A294" s="12" t="inlineStr">
        <is>
          <t>1994-03</t>
        </is>
      </c>
      <c r="B294" s="14" t="n">
        <v>644630.1899999999</v>
      </c>
      <c r="C294" s="14" t="n">
        <v>259122.44</v>
      </c>
      <c r="D294" s="26">
        <f>IFERROR(C294/B294, 0)</f>
        <v/>
      </c>
      <c r="E294" s="26">
        <f>IFERROR((B294-B293)/B293, 0)</f>
        <v/>
      </c>
      <c r="F294" s="16" t="n">
        <v>1985</v>
      </c>
    </row>
    <row r="295">
      <c r="A295" s="17" t="inlineStr">
        <is>
          <t>1994-04</t>
        </is>
      </c>
      <c r="B295" s="19" t="n">
        <v>629304.58</v>
      </c>
      <c r="C295" s="19" t="n">
        <v>245786.06</v>
      </c>
      <c r="D295" s="27">
        <f>IFERROR(C295/B295, 0)</f>
        <v/>
      </c>
      <c r="E295" s="27">
        <f>IFERROR((B295-B294)/B294, 0)</f>
        <v/>
      </c>
      <c r="F295" s="21" t="n">
        <v>1954</v>
      </c>
    </row>
    <row r="296">
      <c r="A296" s="12" t="inlineStr">
        <is>
          <t>1994-05</t>
        </is>
      </c>
      <c r="B296" s="14" t="n">
        <v>669497.75</v>
      </c>
      <c r="C296" s="14" t="n">
        <v>258553.33</v>
      </c>
      <c r="D296" s="26">
        <f>IFERROR(C296/B296, 0)</f>
        <v/>
      </c>
      <c r="E296" s="26">
        <f>IFERROR((B296-B295)/B295, 0)</f>
        <v/>
      </c>
      <c r="F296" s="16" t="n">
        <v>2036</v>
      </c>
    </row>
    <row r="297">
      <c r="A297" s="17" t="inlineStr">
        <is>
          <t>1994-06</t>
        </is>
      </c>
      <c r="B297" s="19" t="n">
        <v>577889.88</v>
      </c>
      <c r="C297" s="19" t="n">
        <v>227689.3</v>
      </c>
      <c r="D297" s="27">
        <f>IFERROR(C297/B297, 0)</f>
        <v/>
      </c>
      <c r="E297" s="27">
        <f>IFERROR((B297-B296)/B296, 0)</f>
        <v/>
      </c>
      <c r="F297" s="21" t="n">
        <v>1858</v>
      </c>
    </row>
    <row r="298">
      <c r="A298" s="12" t="inlineStr">
        <is>
          <t>1994-07</t>
        </is>
      </c>
      <c r="B298" s="14" t="n">
        <v>662239.27</v>
      </c>
      <c r="C298" s="14" t="n">
        <v>260348.56</v>
      </c>
      <c r="D298" s="26">
        <f>IFERROR(C298/B298, 0)</f>
        <v/>
      </c>
      <c r="E298" s="26">
        <f>IFERROR((B298-B297)/B297, 0)</f>
        <v/>
      </c>
      <c r="F298" s="16" t="n">
        <v>2114</v>
      </c>
    </row>
    <row r="299">
      <c r="A299" s="17" t="inlineStr">
        <is>
          <t>1994-08</t>
        </is>
      </c>
      <c r="B299" s="19" t="n">
        <v>598627.6800000001</v>
      </c>
      <c r="C299" s="19" t="n">
        <v>239538.33</v>
      </c>
      <c r="D299" s="27">
        <f>IFERROR(C299/B299, 0)</f>
        <v/>
      </c>
      <c r="E299" s="27">
        <f>IFERROR((B299-B298)/B298, 0)</f>
        <v/>
      </c>
      <c r="F299" s="21" t="n">
        <v>1893</v>
      </c>
    </row>
    <row r="300">
      <c r="A300" s="12" t="inlineStr">
        <is>
          <t>1994-09</t>
        </is>
      </c>
      <c r="B300" s="14" t="n">
        <v>621971.4</v>
      </c>
      <c r="C300" s="14" t="n">
        <v>246869.74</v>
      </c>
      <c r="D300" s="26">
        <f>IFERROR(C300/B300, 0)</f>
        <v/>
      </c>
      <c r="E300" s="26">
        <f>IFERROR((B300-B299)/B299, 0)</f>
        <v/>
      </c>
      <c r="F300" s="16" t="n">
        <v>1936</v>
      </c>
    </row>
    <row r="301">
      <c r="A301" s="17" t="inlineStr">
        <is>
          <t>1994-10</t>
        </is>
      </c>
      <c r="B301" s="19" t="n">
        <v>677362.9</v>
      </c>
      <c r="C301" s="19" t="n">
        <v>266878.29</v>
      </c>
      <c r="D301" s="27">
        <f>IFERROR(C301/B301, 0)</f>
        <v/>
      </c>
      <c r="E301" s="27">
        <f>IFERROR((B301-B300)/B300, 0)</f>
        <v/>
      </c>
      <c r="F301" s="21" t="n">
        <v>2198</v>
      </c>
    </row>
    <row r="302">
      <c r="A302" s="12" t="inlineStr">
        <is>
          <t>1994-11</t>
        </is>
      </c>
      <c r="B302" s="14" t="n">
        <v>575024.7</v>
      </c>
      <c r="C302" s="14" t="n">
        <v>230151.34</v>
      </c>
      <c r="D302" s="26">
        <f>IFERROR(C302/B302, 0)</f>
        <v/>
      </c>
      <c r="E302" s="26">
        <f>IFERROR((B302-B301)/B301, 0)</f>
        <v/>
      </c>
      <c r="F302" s="16" t="n">
        <v>1785</v>
      </c>
    </row>
    <row r="303">
      <c r="A303" s="17" t="inlineStr">
        <is>
          <t>1994-12</t>
        </is>
      </c>
      <c r="B303" s="19" t="n">
        <v>552678.87</v>
      </c>
      <c r="C303" s="19" t="n">
        <v>225994.78</v>
      </c>
      <c r="D303" s="27">
        <f>IFERROR(C303/B303, 0)</f>
        <v/>
      </c>
      <c r="E303" s="27">
        <f>IFERROR((B303-B302)/B302, 0)</f>
        <v/>
      </c>
      <c r="F303" s="21" t="n">
        <v>1864</v>
      </c>
    </row>
    <row r="304">
      <c r="A304" s="12" t="inlineStr">
        <is>
          <t>1995-01</t>
        </is>
      </c>
      <c r="B304" s="14" t="n">
        <v>703662.84</v>
      </c>
      <c r="C304" s="14" t="n">
        <v>282436.18</v>
      </c>
      <c r="D304" s="26">
        <f>IFERROR(C304/B304, 0)</f>
        <v/>
      </c>
      <c r="E304" s="26">
        <f>IFERROR((B304-B303)/B303, 0)</f>
        <v/>
      </c>
      <c r="F304" s="16" t="n">
        <v>2080</v>
      </c>
    </row>
    <row r="305">
      <c r="A305" s="17" t="inlineStr">
        <is>
          <t>1995-02</t>
        </is>
      </c>
      <c r="B305" s="19" t="n">
        <v>533884.75</v>
      </c>
      <c r="C305" s="19" t="n">
        <v>212183.66</v>
      </c>
      <c r="D305" s="27">
        <f>IFERROR(C305/B305, 0)</f>
        <v/>
      </c>
      <c r="E305" s="27">
        <f>IFERROR((B305-B304)/B304, 0)</f>
        <v/>
      </c>
      <c r="F305" s="21" t="n">
        <v>1653</v>
      </c>
    </row>
    <row r="306">
      <c r="A306" s="12" t="inlineStr">
        <is>
          <t>1995-03</t>
        </is>
      </c>
      <c r="B306" s="14" t="n">
        <v>611912.6899999999</v>
      </c>
      <c r="C306" s="14" t="n">
        <v>245196.67</v>
      </c>
      <c r="D306" s="26">
        <f>IFERROR(C306/B306, 0)</f>
        <v/>
      </c>
      <c r="E306" s="26">
        <f>IFERROR((B306-B305)/B305, 0)</f>
        <v/>
      </c>
      <c r="F306" s="16" t="n">
        <v>1918</v>
      </c>
    </row>
    <row r="307">
      <c r="A307" s="17" t="inlineStr">
        <is>
          <t>1995-04</t>
        </is>
      </c>
      <c r="B307" s="19" t="n">
        <v>600635.66</v>
      </c>
      <c r="C307" s="19" t="n">
        <v>234842.4</v>
      </c>
      <c r="D307" s="27">
        <f>IFERROR(C307/B307, 0)</f>
        <v/>
      </c>
      <c r="E307" s="27">
        <f>IFERROR((B307-B306)/B306, 0)</f>
        <v/>
      </c>
      <c r="F307" s="21" t="n">
        <v>1859</v>
      </c>
    </row>
    <row r="308">
      <c r="A308" s="12" t="inlineStr">
        <is>
          <t>1995-05</t>
        </is>
      </c>
      <c r="B308" s="14" t="n">
        <v>579598.6</v>
      </c>
      <c r="C308" s="14" t="n">
        <v>231013.55</v>
      </c>
      <c r="D308" s="26">
        <f>IFERROR(C308/B308, 0)</f>
        <v/>
      </c>
      <c r="E308" s="26">
        <f>IFERROR((B308-B307)/B307, 0)</f>
        <v/>
      </c>
      <c r="F308" s="16" t="n">
        <v>1876</v>
      </c>
    </row>
    <row r="309">
      <c r="A309" s="17" t="inlineStr">
        <is>
          <t>1995-06</t>
        </is>
      </c>
      <c r="B309" s="19" t="n">
        <v>655597.12</v>
      </c>
      <c r="C309" s="19" t="n">
        <v>250392.14</v>
      </c>
      <c r="D309" s="27">
        <f>IFERROR(C309/B309, 0)</f>
        <v/>
      </c>
      <c r="E309" s="27">
        <f>IFERROR((B309-B308)/B308, 0)</f>
        <v/>
      </c>
      <c r="F309" s="21" t="n">
        <v>1963</v>
      </c>
    </row>
    <row r="310">
      <c r="A310" s="12" t="inlineStr">
        <is>
          <t>1995-07</t>
        </is>
      </c>
      <c r="B310" s="14" t="n">
        <v>651473.35</v>
      </c>
      <c r="C310" s="14" t="n">
        <v>258358.73</v>
      </c>
      <c r="D310" s="26">
        <f>IFERROR(C310/B310, 0)</f>
        <v/>
      </c>
      <c r="E310" s="26">
        <f>IFERROR((B310-B309)/B309, 0)</f>
        <v/>
      </c>
      <c r="F310" s="16" t="n">
        <v>2015</v>
      </c>
    </row>
    <row r="311">
      <c r="A311" s="17" t="inlineStr">
        <is>
          <t>1995-08</t>
        </is>
      </c>
      <c r="B311" s="19" t="n">
        <v>674745.41</v>
      </c>
      <c r="C311" s="19" t="n">
        <v>270359.72</v>
      </c>
      <c r="D311" s="27">
        <f>IFERROR(C311/B311, 0)</f>
        <v/>
      </c>
      <c r="E311" s="27">
        <f>IFERROR((B311-B310)/B310, 0)</f>
        <v/>
      </c>
      <c r="F311" s="21" t="n">
        <v>2054</v>
      </c>
    </row>
    <row r="312">
      <c r="A312" s="12" t="inlineStr">
        <is>
          <t>1995-09</t>
        </is>
      </c>
      <c r="B312" s="14" t="n">
        <v>632326.64</v>
      </c>
      <c r="C312" s="14" t="n">
        <v>251592.06</v>
      </c>
      <c r="D312" s="26">
        <f>IFERROR(C312/B312, 0)</f>
        <v/>
      </c>
      <c r="E312" s="26">
        <f>IFERROR((B312-B311)/B311, 0)</f>
        <v/>
      </c>
      <c r="F312" s="16" t="n">
        <v>1925</v>
      </c>
    </row>
    <row r="313">
      <c r="A313" s="17" t="inlineStr">
        <is>
          <t>1995-10</t>
        </is>
      </c>
      <c r="B313" s="19" t="n">
        <v>606656.41</v>
      </c>
      <c r="C313" s="19" t="n">
        <v>240806.11</v>
      </c>
      <c r="D313" s="27">
        <f>IFERROR(C313/B313, 0)</f>
        <v/>
      </c>
      <c r="E313" s="27">
        <f>IFERROR((B313-B312)/B312, 0)</f>
        <v/>
      </c>
      <c r="F313" s="21" t="n">
        <v>1956</v>
      </c>
    </row>
    <row r="314">
      <c r="A314" s="12" t="inlineStr">
        <is>
          <t>1995-11</t>
        </is>
      </c>
      <c r="B314" s="14" t="n">
        <v>569289.86</v>
      </c>
      <c r="C314" s="14" t="n">
        <v>226252.61</v>
      </c>
      <c r="D314" s="26">
        <f>IFERROR(C314/B314, 0)</f>
        <v/>
      </c>
      <c r="E314" s="26">
        <f>IFERROR((B314-B313)/B313, 0)</f>
        <v/>
      </c>
      <c r="F314" s="16" t="n">
        <v>1861</v>
      </c>
    </row>
    <row r="315">
      <c r="A315" s="17" t="inlineStr">
        <is>
          <t>1995-12</t>
        </is>
      </c>
      <c r="B315" s="19" t="n">
        <v>648237.61</v>
      </c>
      <c r="C315" s="19" t="n">
        <v>256562.1</v>
      </c>
      <c r="D315" s="27">
        <f>IFERROR(C315/B315, 0)</f>
        <v/>
      </c>
      <c r="E315" s="27">
        <f>IFERROR((B315-B314)/B314, 0)</f>
        <v/>
      </c>
      <c r="F315" s="21" t="n">
        <v>2046</v>
      </c>
    </row>
    <row r="316">
      <c r="A316" s="12" t="inlineStr">
        <is>
          <t>1996-01</t>
        </is>
      </c>
      <c r="B316" s="14" t="n">
        <v>645369.73</v>
      </c>
      <c r="C316" s="14" t="n">
        <v>249752.6</v>
      </c>
      <c r="D316" s="26">
        <f>IFERROR(C316/B316, 0)</f>
        <v/>
      </c>
      <c r="E316" s="26">
        <f>IFERROR((B316-B315)/B315, 0)</f>
        <v/>
      </c>
      <c r="F316" s="16" t="n">
        <v>1935</v>
      </c>
    </row>
    <row r="317">
      <c r="A317" s="17" t="inlineStr">
        <is>
          <t>1996-02</t>
        </is>
      </c>
      <c r="B317" s="19" t="n">
        <v>642012.03</v>
      </c>
      <c r="C317" s="19" t="n">
        <v>249812.67</v>
      </c>
      <c r="D317" s="27">
        <f>IFERROR(C317/B317, 0)</f>
        <v/>
      </c>
      <c r="E317" s="27">
        <f>IFERROR((B317-B316)/B316, 0)</f>
        <v/>
      </c>
      <c r="F317" s="21" t="n">
        <v>1912</v>
      </c>
    </row>
    <row r="318">
      <c r="A318" s="12" t="inlineStr">
        <is>
          <t>1996-03</t>
        </is>
      </c>
      <c r="B318" s="14" t="n">
        <v>642539.62</v>
      </c>
      <c r="C318" s="14" t="n">
        <v>256928.93</v>
      </c>
      <c r="D318" s="26">
        <f>IFERROR(C318/B318, 0)</f>
        <v/>
      </c>
      <c r="E318" s="26">
        <f>IFERROR((B318-B317)/B317, 0)</f>
        <v/>
      </c>
      <c r="F318" s="16" t="n">
        <v>2052</v>
      </c>
    </row>
    <row r="319">
      <c r="A319" s="17" t="inlineStr">
        <is>
          <t>1996-04</t>
        </is>
      </c>
      <c r="B319" s="19" t="n">
        <v>597226.38</v>
      </c>
      <c r="C319" s="19" t="n">
        <v>237168.92</v>
      </c>
      <c r="D319" s="27">
        <f>IFERROR(C319/B319, 0)</f>
        <v/>
      </c>
      <c r="E319" s="27">
        <f>IFERROR((B319-B318)/B318, 0)</f>
        <v/>
      </c>
      <c r="F319" s="21" t="n">
        <v>1906</v>
      </c>
    </row>
    <row r="320">
      <c r="A320" s="12" t="inlineStr">
        <is>
          <t>1996-05</t>
        </is>
      </c>
      <c r="B320" s="14" t="n">
        <v>692290.71</v>
      </c>
      <c r="C320" s="14" t="n">
        <v>270002.73</v>
      </c>
      <c r="D320" s="26">
        <f>IFERROR(C320/B320, 0)</f>
        <v/>
      </c>
      <c r="E320" s="26">
        <f>IFERROR((B320-B319)/B319, 0)</f>
        <v/>
      </c>
      <c r="F320" s="16" t="n">
        <v>2260</v>
      </c>
    </row>
    <row r="321">
      <c r="A321" s="17" t="inlineStr">
        <is>
          <t>1996-06</t>
        </is>
      </c>
      <c r="B321" s="19" t="n">
        <v>548139.49</v>
      </c>
      <c r="C321" s="19" t="n">
        <v>225132.09</v>
      </c>
      <c r="D321" s="27">
        <f>IFERROR(C321/B321, 0)</f>
        <v/>
      </c>
      <c r="E321" s="27">
        <f>IFERROR((B321-B320)/B320, 0)</f>
        <v/>
      </c>
      <c r="F321" s="21" t="n">
        <v>1802</v>
      </c>
    </row>
    <row r="322">
      <c r="A322" s="12" t="inlineStr">
        <is>
          <t>1996-07</t>
        </is>
      </c>
      <c r="B322" s="14" t="n">
        <v>569706.27</v>
      </c>
      <c r="C322" s="14" t="n">
        <v>232959.06</v>
      </c>
      <c r="D322" s="26">
        <f>IFERROR(C322/B322, 0)</f>
        <v/>
      </c>
      <c r="E322" s="26">
        <f>IFERROR((B322-B321)/B321, 0)</f>
        <v/>
      </c>
      <c r="F322" s="16" t="n">
        <v>1836</v>
      </c>
    </row>
    <row r="323">
      <c r="A323" s="17" t="inlineStr">
        <is>
          <t>1996-08</t>
        </is>
      </c>
      <c r="B323" s="19" t="n">
        <v>563018.36</v>
      </c>
      <c r="C323" s="19" t="n">
        <v>219519.17</v>
      </c>
      <c r="D323" s="27">
        <f>IFERROR(C323/B323, 0)</f>
        <v/>
      </c>
      <c r="E323" s="27">
        <f>IFERROR((B323-B322)/B322, 0)</f>
        <v/>
      </c>
      <c r="F323" s="21" t="n">
        <v>1795</v>
      </c>
    </row>
    <row r="324">
      <c r="A324" s="12" t="inlineStr">
        <is>
          <t>1996-09</t>
        </is>
      </c>
      <c r="B324" s="14" t="n">
        <v>613356.1800000001</v>
      </c>
      <c r="C324" s="14" t="n">
        <v>242467.9</v>
      </c>
      <c r="D324" s="26">
        <f>IFERROR(C324/B324, 0)</f>
        <v/>
      </c>
      <c r="E324" s="26">
        <f>IFERROR((B324-B323)/B323, 0)</f>
        <v/>
      </c>
      <c r="F324" s="16" t="n">
        <v>1894</v>
      </c>
    </row>
    <row r="325">
      <c r="A325" s="17" t="inlineStr">
        <is>
          <t>1996-10</t>
        </is>
      </c>
      <c r="B325" s="19" t="n">
        <v>669034.3</v>
      </c>
      <c r="C325" s="19" t="n">
        <v>267014.89</v>
      </c>
      <c r="D325" s="27">
        <f>IFERROR(C325/B325, 0)</f>
        <v/>
      </c>
      <c r="E325" s="27">
        <f>IFERROR((B325-B324)/B324, 0)</f>
        <v/>
      </c>
      <c r="F325" s="21" t="n">
        <v>1924</v>
      </c>
    </row>
    <row r="326">
      <c r="A326" s="12" t="inlineStr">
        <is>
          <t>1996-11</t>
        </is>
      </c>
      <c r="B326" s="14" t="n">
        <v>629177.8199999999</v>
      </c>
      <c r="C326" s="14" t="n">
        <v>249672.72</v>
      </c>
      <c r="D326" s="26">
        <f>IFERROR(C326/B326, 0)</f>
        <v/>
      </c>
      <c r="E326" s="26">
        <f>IFERROR((B326-B325)/B325, 0)</f>
        <v/>
      </c>
      <c r="F326" s="16" t="n">
        <v>1951</v>
      </c>
    </row>
    <row r="327">
      <c r="A327" s="17" t="inlineStr">
        <is>
          <t>1996-12</t>
        </is>
      </c>
      <c r="B327" s="19" t="n">
        <v>587297.2</v>
      </c>
      <c r="C327" s="19" t="n">
        <v>230693.52</v>
      </c>
      <c r="D327" s="27">
        <f>IFERROR(C327/B327, 0)</f>
        <v/>
      </c>
      <c r="E327" s="27">
        <f>IFERROR((B327-B326)/B326, 0)</f>
        <v/>
      </c>
      <c r="F327" s="21" t="n">
        <v>1833</v>
      </c>
    </row>
    <row r="328">
      <c r="A328" s="12" t="inlineStr">
        <is>
          <t>1997-01</t>
        </is>
      </c>
      <c r="B328" s="14" t="n">
        <v>559260.5</v>
      </c>
      <c r="C328" s="14" t="n">
        <v>221745.28</v>
      </c>
      <c r="D328" s="26">
        <f>IFERROR(C328/B328, 0)</f>
        <v/>
      </c>
      <c r="E328" s="26">
        <f>IFERROR((B328-B327)/B327, 0)</f>
        <v/>
      </c>
      <c r="F328" s="16" t="n">
        <v>1775</v>
      </c>
    </row>
    <row r="329">
      <c r="A329" s="17" t="inlineStr">
        <is>
          <t>1997-02</t>
        </is>
      </c>
      <c r="B329" s="19" t="n">
        <v>557056.76</v>
      </c>
      <c r="C329" s="19" t="n">
        <v>220906.32</v>
      </c>
      <c r="D329" s="27">
        <f>IFERROR(C329/B329, 0)</f>
        <v/>
      </c>
      <c r="E329" s="27">
        <f>IFERROR((B329-B328)/B328, 0)</f>
        <v/>
      </c>
      <c r="F329" s="21" t="n">
        <v>1687</v>
      </c>
    </row>
    <row r="330">
      <c r="A330" s="12" t="inlineStr">
        <is>
          <t>1997-03</t>
        </is>
      </c>
      <c r="B330" s="14" t="n">
        <v>640343.1</v>
      </c>
      <c r="C330" s="14" t="n">
        <v>247467.72</v>
      </c>
      <c r="D330" s="26">
        <f>IFERROR(C330/B330, 0)</f>
        <v/>
      </c>
      <c r="E330" s="26">
        <f>IFERROR((B330-B329)/B329, 0)</f>
        <v/>
      </c>
      <c r="F330" s="16" t="n">
        <v>1876</v>
      </c>
    </row>
    <row r="331">
      <c r="A331" s="17" t="inlineStr">
        <is>
          <t>1997-04</t>
        </is>
      </c>
      <c r="B331" s="19" t="n">
        <v>626005.63</v>
      </c>
      <c r="C331" s="19" t="n">
        <v>246468.34</v>
      </c>
      <c r="D331" s="27">
        <f>IFERROR(C331/B331, 0)</f>
        <v/>
      </c>
      <c r="E331" s="27">
        <f>IFERROR((B331-B330)/B330, 0)</f>
        <v/>
      </c>
      <c r="F331" s="21" t="n">
        <v>1977</v>
      </c>
    </row>
    <row r="332">
      <c r="A332" s="12" t="inlineStr">
        <is>
          <t>1997-05</t>
        </is>
      </c>
      <c r="B332" s="14" t="n">
        <v>631042.14</v>
      </c>
      <c r="C332" s="14" t="n">
        <v>248381.83</v>
      </c>
      <c r="D332" s="26">
        <f>IFERROR(C332/B332, 0)</f>
        <v/>
      </c>
      <c r="E332" s="26">
        <f>IFERROR((B332-B331)/B331, 0)</f>
        <v/>
      </c>
      <c r="F332" s="16" t="n">
        <v>2010</v>
      </c>
    </row>
    <row r="333">
      <c r="A333" s="17" t="inlineStr">
        <is>
          <t>1997-06</t>
        </is>
      </c>
      <c r="B333" s="19" t="n">
        <v>612160.3199999999</v>
      </c>
      <c r="C333" s="19" t="n">
        <v>239403.1</v>
      </c>
      <c r="D333" s="27">
        <f>IFERROR(C333/B333, 0)</f>
        <v/>
      </c>
      <c r="E333" s="27">
        <f>IFERROR((B333-B332)/B332, 0)</f>
        <v/>
      </c>
      <c r="F333" s="21" t="n">
        <v>1812</v>
      </c>
    </row>
    <row r="334">
      <c r="A334" s="12" t="inlineStr">
        <is>
          <t>1997-07</t>
        </is>
      </c>
      <c r="B334" s="14" t="n">
        <v>604829.63</v>
      </c>
      <c r="C334" s="14" t="n">
        <v>237860.55</v>
      </c>
      <c r="D334" s="26">
        <f>IFERROR(C334/B334, 0)</f>
        <v/>
      </c>
      <c r="E334" s="26">
        <f>IFERROR((B334-B333)/B333, 0)</f>
        <v/>
      </c>
      <c r="F334" s="16" t="n">
        <v>1864</v>
      </c>
    </row>
    <row r="335">
      <c r="A335" s="17" t="inlineStr">
        <is>
          <t>1997-08</t>
        </is>
      </c>
      <c r="B335" s="19" t="n">
        <v>575625.92</v>
      </c>
      <c r="C335" s="19" t="n">
        <v>224607.33</v>
      </c>
      <c r="D335" s="27">
        <f>IFERROR(C335/B335, 0)</f>
        <v/>
      </c>
      <c r="E335" s="27">
        <f>IFERROR((B335-B334)/B334, 0)</f>
        <v/>
      </c>
      <c r="F335" s="21" t="n">
        <v>1812</v>
      </c>
    </row>
    <row r="336">
      <c r="A336" s="12" t="inlineStr">
        <is>
          <t>1997-09</t>
        </is>
      </c>
      <c r="B336" s="14" t="n">
        <v>597930.8</v>
      </c>
      <c r="C336" s="14" t="n">
        <v>239103.77</v>
      </c>
      <c r="D336" s="26">
        <f>IFERROR(C336/B336, 0)</f>
        <v/>
      </c>
      <c r="E336" s="26">
        <f>IFERROR((B336-B335)/B335, 0)</f>
        <v/>
      </c>
      <c r="F336" s="16" t="n">
        <v>1927</v>
      </c>
    </row>
    <row r="337">
      <c r="A337" s="17" t="inlineStr">
        <is>
          <t>1997-10</t>
        </is>
      </c>
      <c r="B337" s="19" t="n">
        <v>605145.4399999999</v>
      </c>
      <c r="C337" s="19" t="n">
        <v>240783.88</v>
      </c>
      <c r="D337" s="27">
        <f>IFERROR(C337/B337, 0)</f>
        <v/>
      </c>
      <c r="E337" s="27">
        <f>IFERROR((B337-B336)/B336, 0)</f>
        <v/>
      </c>
      <c r="F337" s="21" t="n">
        <v>2092</v>
      </c>
    </row>
    <row r="338">
      <c r="A338" s="12" t="inlineStr">
        <is>
          <t>1997-11</t>
        </is>
      </c>
      <c r="B338" s="14" t="n">
        <v>616457.52</v>
      </c>
      <c r="C338" s="14" t="n">
        <v>249430.69</v>
      </c>
      <c r="D338" s="26">
        <f>IFERROR(C338/B338, 0)</f>
        <v/>
      </c>
      <c r="E338" s="26">
        <f>IFERROR((B338-B337)/B337, 0)</f>
        <v/>
      </c>
      <c r="F338" s="16" t="n">
        <v>2008</v>
      </c>
    </row>
    <row r="339">
      <c r="A339" s="17" t="inlineStr">
        <is>
          <t>1997-12</t>
        </is>
      </c>
      <c r="B339" s="19" t="n">
        <v>607273.3</v>
      </c>
      <c r="C339" s="19" t="n">
        <v>238066.48</v>
      </c>
      <c r="D339" s="27">
        <f>IFERROR(C339/B339, 0)</f>
        <v/>
      </c>
      <c r="E339" s="27">
        <f>IFERROR((B339-B338)/B338, 0)</f>
        <v/>
      </c>
      <c r="F339" s="21" t="n">
        <v>1872</v>
      </c>
    </row>
    <row r="340">
      <c r="A340" s="12" t="inlineStr">
        <is>
          <t>1998-01</t>
        </is>
      </c>
      <c r="B340" s="14" t="n">
        <v>694687.64</v>
      </c>
      <c r="C340" s="14" t="n">
        <v>272115.67</v>
      </c>
      <c r="D340" s="26">
        <f>IFERROR(C340/B340, 0)</f>
        <v/>
      </c>
      <c r="E340" s="26">
        <f>IFERROR((B340-B339)/B339, 0)</f>
        <v/>
      </c>
      <c r="F340" s="16" t="n">
        <v>2128</v>
      </c>
    </row>
    <row r="341">
      <c r="A341" s="17" t="inlineStr">
        <is>
          <t>1998-02</t>
        </is>
      </c>
      <c r="B341" s="19" t="n">
        <v>473887.96</v>
      </c>
      <c r="C341" s="19" t="n">
        <v>191201.48</v>
      </c>
      <c r="D341" s="27">
        <f>IFERROR(C341/B341, 0)</f>
        <v/>
      </c>
      <c r="E341" s="27">
        <f>IFERROR((B341-B340)/B340, 0)</f>
        <v/>
      </c>
      <c r="F341" s="21" t="n">
        <v>1532</v>
      </c>
    </row>
    <row r="342">
      <c r="A342" s="12" t="inlineStr">
        <is>
          <t>1998-03</t>
        </is>
      </c>
      <c r="B342" s="14" t="n">
        <v>505494.55</v>
      </c>
      <c r="C342" s="14" t="n">
        <v>194267.91</v>
      </c>
      <c r="D342" s="26">
        <f>IFERROR(C342/B342, 0)</f>
        <v/>
      </c>
      <c r="E342" s="26">
        <f>IFERROR((B342-B341)/B341, 0)</f>
        <v/>
      </c>
      <c r="F342" s="16" t="n">
        <v>1615</v>
      </c>
    </row>
    <row r="343">
      <c r="A343" s="17" t="inlineStr">
        <is>
          <t>1998-04</t>
        </is>
      </c>
      <c r="B343" s="19" t="n">
        <v>637369.47</v>
      </c>
      <c r="C343" s="19" t="n">
        <v>255573.99</v>
      </c>
      <c r="D343" s="27">
        <f>IFERROR(C343/B343, 0)</f>
        <v/>
      </c>
      <c r="E343" s="27">
        <f>IFERROR((B343-B342)/B342, 0)</f>
        <v/>
      </c>
      <c r="F343" s="21" t="n">
        <v>1941</v>
      </c>
    </row>
    <row r="344">
      <c r="A344" s="12" t="inlineStr">
        <is>
          <t>1998-05</t>
        </is>
      </c>
      <c r="B344" s="14" t="n">
        <v>670425.67</v>
      </c>
      <c r="C344" s="14" t="n">
        <v>258929.2</v>
      </c>
      <c r="D344" s="26">
        <f>IFERROR(C344/B344, 0)</f>
        <v/>
      </c>
      <c r="E344" s="26">
        <f>IFERROR((B344-B343)/B343, 0)</f>
        <v/>
      </c>
      <c r="F344" s="16" t="n">
        <v>2107</v>
      </c>
    </row>
    <row r="345">
      <c r="A345" s="17" t="inlineStr">
        <is>
          <t>1998-06</t>
        </is>
      </c>
      <c r="B345" s="19" t="n">
        <v>644523.98</v>
      </c>
      <c r="C345" s="19" t="n">
        <v>252055.47</v>
      </c>
      <c r="D345" s="27">
        <f>IFERROR(C345/B345, 0)</f>
        <v/>
      </c>
      <c r="E345" s="27">
        <f>IFERROR((B345-B344)/B344, 0)</f>
        <v/>
      </c>
      <c r="F345" s="21" t="n">
        <v>1998</v>
      </c>
    </row>
    <row r="346">
      <c r="A346" s="12" t="inlineStr">
        <is>
          <t>1998-07</t>
        </is>
      </c>
      <c r="B346" s="14" t="n">
        <v>664448.58</v>
      </c>
      <c r="C346" s="14" t="n">
        <v>254679.53</v>
      </c>
      <c r="D346" s="26">
        <f>IFERROR(C346/B346, 0)</f>
        <v/>
      </c>
      <c r="E346" s="26">
        <f>IFERROR((B346-B345)/B345, 0)</f>
        <v/>
      </c>
      <c r="F346" s="16" t="n">
        <v>2012</v>
      </c>
    </row>
    <row r="347">
      <c r="A347" s="17" t="inlineStr">
        <is>
          <t>1998-08</t>
        </is>
      </c>
      <c r="B347" s="19" t="n">
        <v>582580.04</v>
      </c>
      <c r="C347" s="19" t="n">
        <v>225740.44</v>
      </c>
      <c r="D347" s="27">
        <f>IFERROR(C347/B347, 0)</f>
        <v/>
      </c>
      <c r="E347" s="27">
        <f>IFERROR((B347-B346)/B346, 0)</f>
        <v/>
      </c>
      <c r="F347" s="21" t="n">
        <v>1867</v>
      </c>
    </row>
    <row r="348">
      <c r="A348" s="12" t="inlineStr">
        <is>
          <t>1998-09</t>
        </is>
      </c>
      <c r="B348" s="14" t="n">
        <v>596173.53</v>
      </c>
      <c r="C348" s="14" t="n">
        <v>229992.4</v>
      </c>
      <c r="D348" s="26">
        <f>IFERROR(C348/B348, 0)</f>
        <v/>
      </c>
      <c r="E348" s="26">
        <f>IFERROR((B348-B347)/B347, 0)</f>
        <v/>
      </c>
      <c r="F348" s="16" t="n">
        <v>1913</v>
      </c>
    </row>
    <row r="349">
      <c r="A349" s="17" t="inlineStr">
        <is>
          <t>1998-10</t>
        </is>
      </c>
      <c r="B349" s="19" t="n">
        <v>591548</v>
      </c>
      <c r="C349" s="19" t="n">
        <v>232128.84</v>
      </c>
      <c r="D349" s="27">
        <f>IFERROR(C349/B349, 0)</f>
        <v/>
      </c>
      <c r="E349" s="27">
        <f>IFERROR((B349-B348)/B348, 0)</f>
        <v/>
      </c>
      <c r="F349" s="21" t="n">
        <v>1887</v>
      </c>
    </row>
    <row r="350">
      <c r="A350" s="12" t="inlineStr">
        <is>
          <t>1998-11</t>
        </is>
      </c>
      <c r="B350" s="14" t="n">
        <v>595486.03</v>
      </c>
      <c r="C350" s="14" t="n">
        <v>233346.99</v>
      </c>
      <c r="D350" s="26">
        <f>IFERROR(C350/B350, 0)</f>
        <v/>
      </c>
      <c r="E350" s="26">
        <f>IFERROR((B350-B349)/B349, 0)</f>
        <v/>
      </c>
      <c r="F350" s="16" t="n">
        <v>1852</v>
      </c>
    </row>
    <row r="351">
      <c r="A351" s="17" t="inlineStr">
        <is>
          <t>1998-12</t>
        </is>
      </c>
      <c r="B351" s="19" t="n">
        <v>732348.2</v>
      </c>
      <c r="C351" s="19" t="n">
        <v>293973.19</v>
      </c>
      <c r="D351" s="27">
        <f>IFERROR(C351/B351, 0)</f>
        <v/>
      </c>
      <c r="E351" s="27">
        <f>IFERROR((B351-B350)/B350, 0)</f>
        <v/>
      </c>
      <c r="F351" s="21" t="n">
        <v>2207</v>
      </c>
    </row>
    <row r="352">
      <c r="A352" s="12" t="inlineStr">
        <is>
          <t>1999-01</t>
        </is>
      </c>
      <c r="B352" s="14" t="n">
        <v>561005.01</v>
      </c>
      <c r="C352" s="14" t="n">
        <v>225630.81</v>
      </c>
      <c r="D352" s="26">
        <f>IFERROR(C352/B352, 0)</f>
        <v/>
      </c>
      <c r="E352" s="26">
        <f>IFERROR((B352-B351)/B351, 0)</f>
        <v/>
      </c>
      <c r="F352" s="16" t="n">
        <v>1768</v>
      </c>
    </row>
    <row r="353">
      <c r="A353" s="17" t="inlineStr">
        <is>
          <t>1999-02</t>
        </is>
      </c>
      <c r="B353" s="19" t="n">
        <v>585148.42</v>
      </c>
      <c r="C353" s="19" t="n">
        <v>231631.22</v>
      </c>
      <c r="D353" s="27">
        <f>IFERROR(C353/B353, 0)</f>
        <v/>
      </c>
      <c r="E353" s="27">
        <f>IFERROR((B353-B352)/B352, 0)</f>
        <v/>
      </c>
      <c r="F353" s="21" t="n">
        <v>1955</v>
      </c>
    </row>
    <row r="354">
      <c r="A354" s="12" t="inlineStr">
        <is>
          <t>1999-03</t>
        </is>
      </c>
      <c r="B354" s="14" t="n">
        <v>628198.42</v>
      </c>
      <c r="C354" s="14" t="n">
        <v>248832</v>
      </c>
      <c r="D354" s="26">
        <f>IFERROR(C354/B354, 0)</f>
        <v/>
      </c>
      <c r="E354" s="26">
        <f>IFERROR((B354-B353)/B353, 0)</f>
        <v/>
      </c>
      <c r="F354" s="16" t="n">
        <v>2043</v>
      </c>
    </row>
    <row r="355">
      <c r="A355" s="17" t="inlineStr">
        <is>
          <t>1999-04</t>
        </is>
      </c>
      <c r="B355" s="19" t="n">
        <v>623368.33</v>
      </c>
      <c r="C355" s="19" t="n">
        <v>245293.22</v>
      </c>
      <c r="D355" s="27">
        <f>IFERROR(C355/B355, 0)</f>
        <v/>
      </c>
      <c r="E355" s="27">
        <f>IFERROR((B355-B354)/B354, 0)</f>
        <v/>
      </c>
      <c r="F355" s="21" t="n">
        <v>1914</v>
      </c>
    </row>
    <row r="356">
      <c r="A356" s="12" t="inlineStr">
        <is>
          <t>1999-05</t>
        </is>
      </c>
      <c r="B356" s="14" t="n">
        <v>622477.22</v>
      </c>
      <c r="C356" s="14" t="n">
        <v>254226.49</v>
      </c>
      <c r="D356" s="26">
        <f>IFERROR(C356/B356, 0)</f>
        <v/>
      </c>
      <c r="E356" s="26">
        <f>IFERROR((B356-B355)/B355, 0)</f>
        <v/>
      </c>
      <c r="F356" s="16" t="n">
        <v>1991</v>
      </c>
    </row>
    <row r="357">
      <c r="A357" s="17" t="inlineStr">
        <is>
          <t>1999-06</t>
        </is>
      </c>
      <c r="B357" s="19" t="n">
        <v>585845.29</v>
      </c>
      <c r="C357" s="19" t="n">
        <v>233516.8</v>
      </c>
      <c r="D357" s="27">
        <f>IFERROR(C357/B357, 0)</f>
        <v/>
      </c>
      <c r="E357" s="27">
        <f>IFERROR((B357-B356)/B356, 0)</f>
        <v/>
      </c>
      <c r="F357" s="21" t="n">
        <v>1842</v>
      </c>
    </row>
    <row r="358">
      <c r="A358" s="12" t="inlineStr">
        <is>
          <t>1999-07</t>
        </is>
      </c>
      <c r="B358" s="14" t="n">
        <v>650806.15</v>
      </c>
      <c r="C358" s="14" t="n">
        <v>252678.48</v>
      </c>
      <c r="D358" s="26">
        <f>IFERROR(C358/B358, 0)</f>
        <v/>
      </c>
      <c r="E358" s="26">
        <f>IFERROR((B358-B357)/B357, 0)</f>
        <v/>
      </c>
      <c r="F358" s="16" t="n">
        <v>2019</v>
      </c>
    </row>
    <row r="359">
      <c r="A359" s="17" t="inlineStr">
        <is>
          <t>1999-08</t>
        </is>
      </c>
      <c r="B359" s="19" t="n">
        <v>557875.62</v>
      </c>
      <c r="C359" s="19" t="n">
        <v>223565.26</v>
      </c>
      <c r="D359" s="27">
        <f>IFERROR(C359/B359, 0)</f>
        <v/>
      </c>
      <c r="E359" s="27">
        <f>IFERROR((B359-B358)/B358, 0)</f>
        <v/>
      </c>
      <c r="F359" s="21" t="n">
        <v>1835</v>
      </c>
    </row>
    <row r="360">
      <c r="A360" s="12" t="inlineStr">
        <is>
          <t>1999-09</t>
        </is>
      </c>
      <c r="B360" s="14" t="n">
        <v>620109.36</v>
      </c>
      <c r="C360" s="14" t="n">
        <v>243754.08</v>
      </c>
      <c r="D360" s="26">
        <f>IFERROR(C360/B360, 0)</f>
        <v/>
      </c>
      <c r="E360" s="26">
        <f>IFERROR((B360-B359)/B359, 0)</f>
        <v/>
      </c>
      <c r="F360" s="16" t="n">
        <v>1968</v>
      </c>
    </row>
    <row r="361">
      <c r="A361" s="17" t="inlineStr">
        <is>
          <t>1999-10</t>
        </is>
      </c>
      <c r="B361" s="19" t="n">
        <v>598876.26</v>
      </c>
      <c r="C361" s="19" t="n">
        <v>239841.86</v>
      </c>
      <c r="D361" s="27">
        <f>IFERROR(C361/B361, 0)</f>
        <v/>
      </c>
      <c r="E361" s="27">
        <f>IFERROR((B361-B360)/B360, 0)</f>
        <v/>
      </c>
      <c r="F361" s="21" t="n">
        <v>2032</v>
      </c>
    </row>
    <row r="362">
      <c r="A362" s="12" t="inlineStr">
        <is>
          <t>1999-11</t>
        </is>
      </c>
      <c r="B362" s="14" t="n">
        <v>547708.52</v>
      </c>
      <c r="C362" s="14" t="n">
        <v>224118.13</v>
      </c>
      <c r="D362" s="26">
        <f>IFERROR(C362/B362, 0)</f>
        <v/>
      </c>
      <c r="E362" s="26">
        <f>IFERROR((B362-B361)/B361, 0)</f>
        <v/>
      </c>
      <c r="F362" s="16" t="n">
        <v>1761</v>
      </c>
    </row>
    <row r="363">
      <c r="A363" s="17" t="inlineStr">
        <is>
          <t>1999-12</t>
        </is>
      </c>
      <c r="B363" s="19" t="n">
        <v>654244.36</v>
      </c>
      <c r="C363" s="19" t="n">
        <v>264304.49</v>
      </c>
      <c r="D363" s="27">
        <f>IFERROR(C363/B363, 0)</f>
        <v/>
      </c>
      <c r="E363" s="27">
        <f>IFERROR((B363-B362)/B362, 0)</f>
        <v/>
      </c>
      <c r="F363" s="21" t="n">
        <v>2053</v>
      </c>
    </row>
    <row r="364">
      <c r="A364" s="12" t="inlineStr">
        <is>
          <t>2000-01</t>
        </is>
      </c>
      <c r="B364" s="14" t="n">
        <v>584504.97</v>
      </c>
      <c r="C364" s="14" t="n">
        <v>227599.5</v>
      </c>
      <c r="D364" s="26">
        <f>IFERROR(C364/B364, 0)</f>
        <v/>
      </c>
      <c r="E364" s="26">
        <f>IFERROR((B364-B363)/B363, 0)</f>
        <v/>
      </c>
      <c r="F364" s="16" t="n">
        <v>1853</v>
      </c>
    </row>
    <row r="365">
      <c r="A365" s="17" t="inlineStr">
        <is>
          <t>2000-02</t>
        </is>
      </c>
      <c r="B365" s="19" t="n">
        <v>579445.05</v>
      </c>
      <c r="C365" s="19" t="n">
        <v>234378.87</v>
      </c>
      <c r="D365" s="27">
        <f>IFERROR(C365/B365, 0)</f>
        <v/>
      </c>
      <c r="E365" s="27">
        <f>IFERROR((B365-B364)/B364, 0)</f>
        <v/>
      </c>
      <c r="F365" s="21" t="n">
        <v>1917</v>
      </c>
    </row>
    <row r="366">
      <c r="A366" s="12" t="inlineStr">
        <is>
          <t>2000-03</t>
        </is>
      </c>
      <c r="B366" s="14" t="n">
        <v>538550.8199999999</v>
      </c>
      <c r="C366" s="14" t="n">
        <v>212867.07</v>
      </c>
      <c r="D366" s="26">
        <f>IFERROR(C366/B366, 0)</f>
        <v/>
      </c>
      <c r="E366" s="26">
        <f>IFERROR((B366-B365)/B365, 0)</f>
        <v/>
      </c>
      <c r="F366" s="16" t="n">
        <v>1794</v>
      </c>
    </row>
    <row r="367">
      <c r="A367" s="17" t="inlineStr">
        <is>
          <t>2000-04</t>
        </is>
      </c>
      <c r="B367" s="19" t="n">
        <v>577416.47</v>
      </c>
      <c r="C367" s="19" t="n">
        <v>228150.74</v>
      </c>
      <c r="D367" s="27">
        <f>IFERROR(C367/B367, 0)</f>
        <v/>
      </c>
      <c r="E367" s="27">
        <f>IFERROR((B367-B366)/B366, 0)</f>
        <v/>
      </c>
      <c r="F367" s="21" t="n">
        <v>1890</v>
      </c>
    </row>
    <row r="368">
      <c r="A368" s="12" t="inlineStr">
        <is>
          <t>2000-05</t>
        </is>
      </c>
      <c r="B368" s="14" t="n">
        <v>692862.65</v>
      </c>
      <c r="C368" s="14" t="n">
        <v>270836.98</v>
      </c>
      <c r="D368" s="26">
        <f>IFERROR(C368/B368, 0)</f>
        <v/>
      </c>
      <c r="E368" s="26">
        <f>IFERROR((B368-B367)/B367, 0)</f>
        <v/>
      </c>
      <c r="F368" s="16" t="n">
        <v>2085</v>
      </c>
    </row>
    <row r="369">
      <c r="A369" s="17" t="inlineStr">
        <is>
          <t>2000-06</t>
        </is>
      </c>
      <c r="B369" s="19" t="n">
        <v>638157.4</v>
      </c>
      <c r="C369" s="19" t="n">
        <v>250951.99</v>
      </c>
      <c r="D369" s="27">
        <f>IFERROR(C369/B369, 0)</f>
        <v/>
      </c>
      <c r="E369" s="27">
        <f>IFERROR((B369-B368)/B368, 0)</f>
        <v/>
      </c>
      <c r="F369" s="21" t="n">
        <v>1940</v>
      </c>
    </row>
    <row r="370">
      <c r="A370" s="12" t="inlineStr">
        <is>
          <t>2000-07</t>
        </is>
      </c>
      <c r="B370" s="14" t="n">
        <v>584843.9399999999</v>
      </c>
      <c r="C370" s="14" t="n">
        <v>228030.55</v>
      </c>
      <c r="D370" s="26">
        <f>IFERROR(C370/B370, 0)</f>
        <v/>
      </c>
      <c r="E370" s="26">
        <f>IFERROR((B370-B369)/B369, 0)</f>
        <v/>
      </c>
      <c r="F370" s="16" t="n">
        <v>1802</v>
      </c>
    </row>
    <row r="371">
      <c r="A371" s="17" t="inlineStr">
        <is>
          <t>2000-08</t>
        </is>
      </c>
      <c r="B371" s="19" t="n">
        <v>595086.61</v>
      </c>
      <c r="C371" s="19" t="n">
        <v>229168.34</v>
      </c>
      <c r="D371" s="27">
        <f>IFERROR(C371/B371, 0)</f>
        <v/>
      </c>
      <c r="E371" s="27">
        <f>IFERROR((B371-B370)/B370, 0)</f>
        <v/>
      </c>
      <c r="F371" s="21" t="n">
        <v>1841</v>
      </c>
    </row>
    <row r="372">
      <c r="A372" s="12" t="inlineStr">
        <is>
          <t>2000-09</t>
        </is>
      </c>
      <c r="B372" s="14" t="n">
        <v>572519.6899999999</v>
      </c>
      <c r="C372" s="14" t="n">
        <v>228612.67</v>
      </c>
      <c r="D372" s="26">
        <f>IFERROR(C372/B372, 0)</f>
        <v/>
      </c>
      <c r="E372" s="26">
        <f>IFERROR((B372-B371)/B371, 0)</f>
        <v/>
      </c>
      <c r="F372" s="16" t="n">
        <v>1769</v>
      </c>
    </row>
    <row r="373">
      <c r="A373" s="17" t="inlineStr">
        <is>
          <t>2000-10</t>
        </is>
      </c>
      <c r="B373" s="19" t="n">
        <v>681046.4</v>
      </c>
      <c r="C373" s="19" t="n">
        <v>269336.9</v>
      </c>
      <c r="D373" s="27">
        <f>IFERROR(C373/B373, 0)</f>
        <v/>
      </c>
      <c r="E373" s="27">
        <f>IFERROR((B373-B372)/B372, 0)</f>
        <v/>
      </c>
      <c r="F373" s="21" t="n">
        <v>2155</v>
      </c>
    </row>
    <row r="374">
      <c r="A374" s="12" t="inlineStr">
        <is>
          <t>2000-11</t>
        </is>
      </c>
      <c r="B374" s="14" t="n">
        <v>581926.26</v>
      </c>
      <c r="C374" s="14" t="n">
        <v>234925.87</v>
      </c>
      <c r="D374" s="26">
        <f>IFERROR(C374/B374, 0)</f>
        <v/>
      </c>
      <c r="E374" s="26">
        <f>IFERROR((B374-B373)/B373, 0)</f>
        <v/>
      </c>
      <c r="F374" s="16" t="n">
        <v>1864</v>
      </c>
    </row>
    <row r="375">
      <c r="A375" s="17" t="inlineStr">
        <is>
          <t>2000-12</t>
        </is>
      </c>
      <c r="B375" s="19" t="n">
        <v>629259.29</v>
      </c>
      <c r="C375" s="19" t="n">
        <v>245971.49</v>
      </c>
      <c r="D375" s="27">
        <f>IFERROR(C375/B375, 0)</f>
        <v/>
      </c>
      <c r="E375" s="27">
        <f>IFERROR((B375-B374)/B374, 0)</f>
        <v/>
      </c>
      <c r="F375" s="21" t="n">
        <v>1935</v>
      </c>
    </row>
    <row r="376">
      <c r="A376" s="12" t="inlineStr">
        <is>
          <t>2001-01</t>
        </is>
      </c>
      <c r="B376" s="14" t="n">
        <v>668359.1899999999</v>
      </c>
      <c r="C376" s="14" t="n">
        <v>262856.04</v>
      </c>
      <c r="D376" s="26">
        <f>IFERROR(C376/B376, 0)</f>
        <v/>
      </c>
      <c r="E376" s="26">
        <f>IFERROR((B376-B375)/B375, 0)</f>
        <v/>
      </c>
      <c r="F376" s="16" t="n">
        <v>2104</v>
      </c>
    </row>
    <row r="377">
      <c r="A377" s="17" t="inlineStr">
        <is>
          <t>2001-02</t>
        </is>
      </c>
      <c r="B377" s="19" t="n">
        <v>520800.19</v>
      </c>
      <c r="C377" s="19" t="n">
        <v>198727.54</v>
      </c>
      <c r="D377" s="27">
        <f>IFERROR(C377/B377, 0)</f>
        <v/>
      </c>
      <c r="E377" s="27">
        <f>IFERROR((B377-B376)/B376, 0)</f>
        <v/>
      </c>
      <c r="F377" s="21" t="n">
        <v>1698</v>
      </c>
    </row>
    <row r="378">
      <c r="A378" s="12" t="inlineStr">
        <is>
          <t>2001-03</t>
        </is>
      </c>
      <c r="B378" s="14" t="n">
        <v>654392.96</v>
      </c>
      <c r="C378" s="14" t="n">
        <v>258165.11</v>
      </c>
      <c r="D378" s="26">
        <f>IFERROR(C378/B378, 0)</f>
        <v/>
      </c>
      <c r="E378" s="26">
        <f>IFERROR((B378-B377)/B377, 0)</f>
        <v/>
      </c>
      <c r="F378" s="16" t="n">
        <v>2070</v>
      </c>
    </row>
    <row r="379">
      <c r="A379" s="17" t="inlineStr">
        <is>
          <t>2001-04</t>
        </is>
      </c>
      <c r="B379" s="19" t="n">
        <v>600975.87</v>
      </c>
      <c r="C379" s="19" t="n">
        <v>243120.91</v>
      </c>
      <c r="D379" s="27">
        <f>IFERROR(C379/B379, 0)</f>
        <v/>
      </c>
      <c r="E379" s="27">
        <f>IFERROR((B379-B378)/B378, 0)</f>
        <v/>
      </c>
      <c r="F379" s="21" t="n">
        <v>1902</v>
      </c>
    </row>
    <row r="380">
      <c r="A380" s="12" t="inlineStr">
        <is>
          <t>2001-05</t>
        </is>
      </c>
      <c r="B380" s="14" t="n">
        <v>653715.17</v>
      </c>
      <c r="C380" s="14" t="n">
        <v>251574.96</v>
      </c>
      <c r="D380" s="26">
        <f>IFERROR(C380/B380, 0)</f>
        <v/>
      </c>
      <c r="E380" s="26">
        <f>IFERROR((B380-B379)/B379, 0)</f>
        <v/>
      </c>
      <c r="F380" s="16" t="n">
        <v>1977</v>
      </c>
    </row>
    <row r="381">
      <c r="A381" s="17" t="inlineStr">
        <is>
          <t>2001-06</t>
        </is>
      </c>
      <c r="B381" s="19" t="n">
        <v>598385.61</v>
      </c>
      <c r="C381" s="19" t="n">
        <v>236681.31</v>
      </c>
      <c r="D381" s="27">
        <f>IFERROR(C381/B381, 0)</f>
        <v/>
      </c>
      <c r="E381" s="27">
        <f>IFERROR((B381-B380)/B380, 0)</f>
        <v/>
      </c>
      <c r="F381" s="21" t="n">
        <v>1809</v>
      </c>
    </row>
    <row r="382">
      <c r="A382" s="12" t="inlineStr">
        <is>
          <t>2001-07</t>
        </is>
      </c>
      <c r="B382" s="14" t="n">
        <v>538640.29</v>
      </c>
      <c r="C382" s="14" t="n">
        <v>208047.52</v>
      </c>
      <c r="D382" s="26">
        <f>IFERROR(C382/B382, 0)</f>
        <v/>
      </c>
      <c r="E382" s="26">
        <f>IFERROR((B382-B381)/B381, 0)</f>
        <v/>
      </c>
      <c r="F382" s="16" t="n">
        <v>1763</v>
      </c>
    </row>
    <row r="383">
      <c r="A383" s="17" t="inlineStr">
        <is>
          <t>2001-08</t>
        </is>
      </c>
      <c r="B383" s="19" t="n">
        <v>788480.78</v>
      </c>
      <c r="C383" s="19" t="n">
        <v>310734.3</v>
      </c>
      <c r="D383" s="27">
        <f>IFERROR(C383/B383, 0)</f>
        <v/>
      </c>
      <c r="E383" s="27">
        <f>IFERROR((B383-B382)/B382, 0)</f>
        <v/>
      </c>
      <c r="F383" s="21" t="n">
        <v>2461</v>
      </c>
    </row>
    <row r="384">
      <c r="A384" s="12" t="inlineStr">
        <is>
          <t>2001-09</t>
        </is>
      </c>
      <c r="B384" s="14" t="n">
        <v>644491.96</v>
      </c>
      <c r="C384" s="14" t="n">
        <v>259497.14</v>
      </c>
      <c r="D384" s="26">
        <f>IFERROR(C384/B384, 0)</f>
        <v/>
      </c>
      <c r="E384" s="26">
        <f>IFERROR((B384-B383)/B383, 0)</f>
        <v/>
      </c>
      <c r="F384" s="16" t="n">
        <v>1979</v>
      </c>
    </row>
    <row r="385">
      <c r="A385" s="17" t="inlineStr">
        <is>
          <t>2001-10</t>
        </is>
      </c>
      <c r="B385" s="19" t="n">
        <v>568786.61</v>
      </c>
      <c r="C385" s="19" t="n">
        <v>217295.45</v>
      </c>
      <c r="D385" s="27">
        <f>IFERROR(C385/B385, 0)</f>
        <v/>
      </c>
      <c r="E385" s="27">
        <f>IFERROR((B385-B384)/B384, 0)</f>
        <v/>
      </c>
      <c r="F385" s="21" t="n">
        <v>1808</v>
      </c>
    </row>
    <row r="386">
      <c r="A386" s="12" t="inlineStr">
        <is>
          <t>2001-11</t>
        </is>
      </c>
      <c r="B386" s="14" t="n">
        <v>725470.77</v>
      </c>
      <c r="C386" s="14" t="n">
        <v>291107.58</v>
      </c>
      <c r="D386" s="26">
        <f>IFERROR(C386/B386, 0)</f>
        <v/>
      </c>
      <c r="E386" s="26">
        <f>IFERROR((B386-B385)/B385, 0)</f>
        <v/>
      </c>
      <c r="F386" s="16" t="n">
        <v>2339</v>
      </c>
    </row>
    <row r="387">
      <c r="A387" s="17" t="inlineStr">
        <is>
          <t>2001-12</t>
        </is>
      </c>
      <c r="B387" s="19" t="n">
        <v>606304.58</v>
      </c>
      <c r="C387" s="19" t="n">
        <v>238528.39</v>
      </c>
      <c r="D387" s="27">
        <f>IFERROR(C387/B387, 0)</f>
        <v/>
      </c>
      <c r="E387" s="27">
        <f>IFERROR((B387-B386)/B386, 0)</f>
        <v/>
      </c>
      <c r="F387" s="21" t="n">
        <v>1935</v>
      </c>
    </row>
    <row r="388">
      <c r="A388" s="12" t="inlineStr">
        <is>
          <t>2002-01</t>
        </is>
      </c>
      <c r="B388" s="14" t="n">
        <v>607511.79</v>
      </c>
      <c r="C388" s="14" t="n">
        <v>239962.98</v>
      </c>
      <c r="D388" s="26">
        <f>IFERROR(C388/B388, 0)</f>
        <v/>
      </c>
      <c r="E388" s="26">
        <f>IFERROR((B388-B387)/B387, 0)</f>
        <v/>
      </c>
      <c r="F388" s="16" t="n">
        <v>1928</v>
      </c>
    </row>
    <row r="389">
      <c r="A389" s="17" t="inlineStr">
        <is>
          <t>2002-02</t>
        </is>
      </c>
      <c r="B389" s="19" t="n">
        <v>629386.5699999999</v>
      </c>
      <c r="C389" s="19" t="n">
        <v>242159.26</v>
      </c>
      <c r="D389" s="27">
        <f>IFERROR(C389/B389, 0)</f>
        <v/>
      </c>
      <c r="E389" s="27">
        <f>IFERROR((B389-B388)/B388, 0)</f>
        <v/>
      </c>
      <c r="F389" s="21" t="n">
        <v>1805</v>
      </c>
    </row>
    <row r="390">
      <c r="A390" s="12" t="inlineStr">
        <is>
          <t>2002-03</t>
        </is>
      </c>
      <c r="B390" s="14" t="n">
        <v>623556.9300000001</v>
      </c>
      <c r="C390" s="14" t="n">
        <v>242513.41</v>
      </c>
      <c r="D390" s="26">
        <f>IFERROR(C390/B390, 0)</f>
        <v/>
      </c>
      <c r="E390" s="26">
        <f>IFERROR((B390-B389)/B389, 0)</f>
        <v/>
      </c>
      <c r="F390" s="16" t="n">
        <v>1907</v>
      </c>
    </row>
    <row r="391">
      <c r="A391" s="17" t="inlineStr">
        <is>
          <t>2002-04</t>
        </is>
      </c>
      <c r="B391" s="19" t="n">
        <v>533222.55</v>
      </c>
      <c r="C391" s="19" t="n">
        <v>207125.17</v>
      </c>
      <c r="D391" s="27">
        <f>IFERROR(C391/B391, 0)</f>
        <v/>
      </c>
      <c r="E391" s="27">
        <f>IFERROR((B391-B390)/B390, 0)</f>
        <v/>
      </c>
      <c r="F391" s="21" t="n">
        <v>1675</v>
      </c>
    </row>
    <row r="392">
      <c r="A392" s="12" t="inlineStr">
        <is>
          <t>2002-05</t>
        </is>
      </c>
      <c r="B392" s="14" t="n">
        <v>619175.77</v>
      </c>
      <c r="C392" s="14" t="n">
        <v>246675.81</v>
      </c>
      <c r="D392" s="26">
        <f>IFERROR(C392/B392, 0)</f>
        <v/>
      </c>
      <c r="E392" s="26">
        <f>IFERROR((B392-B391)/B391, 0)</f>
        <v/>
      </c>
      <c r="F392" s="16" t="n">
        <v>2043</v>
      </c>
    </row>
    <row r="393">
      <c r="A393" s="17" t="inlineStr">
        <is>
          <t>2002-06</t>
        </is>
      </c>
      <c r="B393" s="19" t="n">
        <v>680833.23</v>
      </c>
      <c r="C393" s="19" t="n">
        <v>268539</v>
      </c>
      <c r="D393" s="27">
        <f>IFERROR(C393/B393, 0)</f>
        <v/>
      </c>
      <c r="E393" s="27">
        <f>IFERROR((B393-B392)/B392, 0)</f>
        <v/>
      </c>
      <c r="F393" s="21" t="n">
        <v>2180</v>
      </c>
    </row>
    <row r="394">
      <c r="A394" s="12" t="inlineStr">
        <is>
          <t>2002-07</t>
        </is>
      </c>
      <c r="B394" s="14" t="n">
        <v>611481.54</v>
      </c>
      <c r="C394" s="14" t="n">
        <v>240148.66</v>
      </c>
      <c r="D394" s="26">
        <f>IFERROR(C394/B394, 0)</f>
        <v/>
      </c>
      <c r="E394" s="26">
        <f>IFERROR((B394-B393)/B393, 0)</f>
        <v/>
      </c>
      <c r="F394" s="16" t="n">
        <v>1807</v>
      </c>
    </row>
    <row r="395">
      <c r="A395" s="17" t="inlineStr">
        <is>
          <t>2002-08</t>
        </is>
      </c>
      <c r="B395" s="19" t="n">
        <v>633514.95</v>
      </c>
      <c r="C395" s="19" t="n">
        <v>241298.46</v>
      </c>
      <c r="D395" s="27">
        <f>IFERROR(C395/B395, 0)</f>
        <v/>
      </c>
      <c r="E395" s="27">
        <f>IFERROR((B395-B394)/B394, 0)</f>
        <v/>
      </c>
      <c r="F395" s="21" t="n">
        <v>1926</v>
      </c>
    </row>
    <row r="396">
      <c r="A396" s="12" t="inlineStr">
        <is>
          <t>2002-09</t>
        </is>
      </c>
      <c r="B396" s="14" t="n">
        <v>581026.05</v>
      </c>
      <c r="C396" s="14" t="n">
        <v>236726.4</v>
      </c>
      <c r="D396" s="26">
        <f>IFERROR(C396/B396, 0)</f>
        <v/>
      </c>
      <c r="E396" s="26">
        <f>IFERROR((B396-B395)/B395, 0)</f>
        <v/>
      </c>
      <c r="F396" s="16" t="n">
        <v>1925</v>
      </c>
    </row>
    <row r="397">
      <c r="A397" s="17" t="inlineStr">
        <is>
          <t>2002-10</t>
        </is>
      </c>
      <c r="B397" s="19" t="n">
        <v>645558.33</v>
      </c>
      <c r="C397" s="19" t="n">
        <v>246010.11</v>
      </c>
      <c r="D397" s="27">
        <f>IFERROR(C397/B397, 0)</f>
        <v/>
      </c>
      <c r="E397" s="27">
        <f>IFERROR((B397-B396)/B396, 0)</f>
        <v/>
      </c>
      <c r="F397" s="21" t="n">
        <v>1942</v>
      </c>
    </row>
    <row r="398">
      <c r="A398" s="12" t="inlineStr">
        <is>
          <t>2002-11</t>
        </is>
      </c>
      <c r="B398" s="14" t="n">
        <v>579244.8</v>
      </c>
      <c r="C398" s="14" t="n">
        <v>237663.4</v>
      </c>
      <c r="D398" s="26">
        <f>IFERROR(C398/B398, 0)</f>
        <v/>
      </c>
      <c r="E398" s="26">
        <f>IFERROR((B398-B397)/B397, 0)</f>
        <v/>
      </c>
      <c r="F398" s="16" t="n">
        <v>1866</v>
      </c>
    </row>
    <row r="399">
      <c r="A399" s="17" t="inlineStr">
        <is>
          <t>2002-12</t>
        </is>
      </c>
      <c r="B399" s="19" t="n">
        <v>628341.85</v>
      </c>
      <c r="C399" s="19" t="n">
        <v>252002.45</v>
      </c>
      <c r="D399" s="27">
        <f>IFERROR(C399/B399, 0)</f>
        <v/>
      </c>
      <c r="E399" s="27">
        <f>IFERROR((B399-B398)/B398, 0)</f>
        <v/>
      </c>
      <c r="F399" s="21" t="n">
        <v>1961</v>
      </c>
    </row>
    <row r="400">
      <c r="A400" s="12" t="inlineStr">
        <is>
          <t>2003-01</t>
        </is>
      </c>
      <c r="B400" s="14" t="n">
        <v>603325.89</v>
      </c>
      <c r="C400" s="14" t="n">
        <v>238986</v>
      </c>
      <c r="D400" s="26">
        <f>IFERROR(C400/B400, 0)</f>
        <v/>
      </c>
      <c r="E400" s="26">
        <f>IFERROR((B400-B399)/B399, 0)</f>
        <v/>
      </c>
      <c r="F400" s="16" t="n">
        <v>1898</v>
      </c>
    </row>
    <row r="401">
      <c r="A401" s="17" t="inlineStr">
        <is>
          <t>2003-02</t>
        </is>
      </c>
      <c r="B401" s="19" t="n">
        <v>522542.04</v>
      </c>
      <c r="C401" s="19" t="n">
        <v>206801.82</v>
      </c>
      <c r="D401" s="27">
        <f>IFERROR(C401/B401, 0)</f>
        <v/>
      </c>
      <c r="E401" s="27">
        <f>IFERROR((B401-B400)/B400, 0)</f>
        <v/>
      </c>
      <c r="F401" s="21" t="n">
        <v>1669</v>
      </c>
    </row>
    <row r="402">
      <c r="A402" s="12" t="inlineStr">
        <is>
          <t>2003-03</t>
        </is>
      </c>
      <c r="B402" s="14" t="n">
        <v>680398.95</v>
      </c>
      <c r="C402" s="14" t="n">
        <v>260529.85</v>
      </c>
      <c r="D402" s="26">
        <f>IFERROR(C402/B402, 0)</f>
        <v/>
      </c>
      <c r="E402" s="26">
        <f>IFERROR((B402-B401)/B401, 0)</f>
        <v/>
      </c>
      <c r="F402" s="16" t="n">
        <v>2120</v>
      </c>
    </row>
    <row r="403">
      <c r="A403" s="17" t="inlineStr">
        <is>
          <t>2003-04</t>
        </is>
      </c>
      <c r="B403" s="19" t="n">
        <v>661337.54</v>
      </c>
      <c r="C403" s="19" t="n">
        <v>257978.82</v>
      </c>
      <c r="D403" s="27">
        <f>IFERROR(C403/B403, 0)</f>
        <v/>
      </c>
      <c r="E403" s="27">
        <f>IFERROR((B403-B402)/B402, 0)</f>
        <v/>
      </c>
      <c r="F403" s="21" t="n">
        <v>1977</v>
      </c>
    </row>
    <row r="404">
      <c r="A404" s="12" t="inlineStr">
        <is>
          <t>2003-05</t>
        </is>
      </c>
      <c r="B404" s="14" t="n">
        <v>650870.8</v>
      </c>
      <c r="C404" s="14" t="n">
        <v>261288.16</v>
      </c>
      <c r="D404" s="26">
        <f>IFERROR(C404/B404, 0)</f>
        <v/>
      </c>
      <c r="E404" s="26">
        <f>IFERROR((B404-B403)/B403, 0)</f>
        <v/>
      </c>
      <c r="F404" s="16" t="n">
        <v>2032</v>
      </c>
    </row>
    <row r="405">
      <c r="A405" s="17" t="inlineStr">
        <is>
          <t>2003-06</t>
        </is>
      </c>
      <c r="B405" s="19" t="n">
        <v>604167.4399999999</v>
      </c>
      <c r="C405" s="19" t="n">
        <v>239506.53</v>
      </c>
      <c r="D405" s="27">
        <f>IFERROR(C405/B405, 0)</f>
        <v/>
      </c>
      <c r="E405" s="27">
        <f>IFERROR((B405-B404)/B404, 0)</f>
        <v/>
      </c>
      <c r="F405" s="21" t="n">
        <v>1904</v>
      </c>
    </row>
    <row r="406">
      <c r="A406" s="12" t="inlineStr">
        <is>
          <t>2003-07</t>
        </is>
      </c>
      <c r="B406" s="14" t="n">
        <v>535462.63</v>
      </c>
      <c r="C406" s="14" t="n">
        <v>210254.93</v>
      </c>
      <c r="D406" s="26">
        <f>IFERROR(C406/B406, 0)</f>
        <v/>
      </c>
      <c r="E406" s="26">
        <f>IFERROR((B406-B405)/B405, 0)</f>
        <v/>
      </c>
      <c r="F406" s="16" t="n">
        <v>1742</v>
      </c>
    </row>
    <row r="407">
      <c r="A407" s="17" t="inlineStr">
        <is>
          <t>2003-08</t>
        </is>
      </c>
      <c r="B407" s="19" t="n">
        <v>579215.6</v>
      </c>
      <c r="C407" s="19" t="n">
        <v>233770.57</v>
      </c>
      <c r="D407" s="27">
        <f>IFERROR(C407/B407, 0)</f>
        <v/>
      </c>
      <c r="E407" s="27">
        <f>IFERROR((B407-B406)/B406, 0)</f>
        <v/>
      </c>
      <c r="F407" s="21" t="n">
        <v>1802</v>
      </c>
    </row>
    <row r="408">
      <c r="A408" s="12" t="inlineStr">
        <is>
          <t>2003-09</t>
        </is>
      </c>
      <c r="B408" s="14" t="n">
        <v>581363.6</v>
      </c>
      <c r="C408" s="14" t="n">
        <v>231555.45</v>
      </c>
      <c r="D408" s="26">
        <f>IFERROR(C408/B408, 0)</f>
        <v/>
      </c>
      <c r="E408" s="26">
        <f>IFERROR((B408-B407)/B407, 0)</f>
        <v/>
      </c>
      <c r="F408" s="16" t="n">
        <v>1807</v>
      </c>
    </row>
    <row r="409">
      <c r="A409" s="17" t="inlineStr">
        <is>
          <t>2003-10</t>
        </is>
      </c>
      <c r="B409" s="19" t="n">
        <v>719993.11</v>
      </c>
      <c r="C409" s="19" t="n">
        <v>287333.87</v>
      </c>
      <c r="D409" s="27">
        <f>IFERROR(C409/B409, 0)</f>
        <v/>
      </c>
      <c r="E409" s="27">
        <f>IFERROR((B409-B408)/B408, 0)</f>
        <v/>
      </c>
      <c r="F409" s="21" t="n">
        <v>2147</v>
      </c>
    </row>
    <row r="410">
      <c r="A410" s="12" t="inlineStr">
        <is>
          <t>2003-11</t>
        </is>
      </c>
      <c r="B410" s="14" t="n">
        <v>648629.98</v>
      </c>
      <c r="C410" s="14" t="n">
        <v>251206.74</v>
      </c>
      <c r="D410" s="26">
        <f>IFERROR(C410/B410, 0)</f>
        <v/>
      </c>
      <c r="E410" s="26">
        <f>IFERROR((B410-B409)/B409, 0)</f>
        <v/>
      </c>
      <c r="F410" s="16" t="n">
        <v>2037</v>
      </c>
    </row>
    <row r="411">
      <c r="A411" s="17" t="inlineStr">
        <is>
          <t>2003-12</t>
        </is>
      </c>
      <c r="B411" s="19" t="n">
        <v>691684.15</v>
      </c>
      <c r="C411" s="19" t="n">
        <v>269581.51</v>
      </c>
      <c r="D411" s="27">
        <f>IFERROR(C411/B411, 0)</f>
        <v/>
      </c>
      <c r="E411" s="27">
        <f>IFERROR((B411-B410)/B410, 0)</f>
        <v/>
      </c>
      <c r="F411" s="21" t="n">
        <v>2278</v>
      </c>
    </row>
    <row r="412">
      <c r="A412" s="12" t="inlineStr">
        <is>
          <t>2004-01</t>
        </is>
      </c>
      <c r="B412" s="14" t="n">
        <v>621408.89</v>
      </c>
      <c r="C412" s="14" t="n">
        <v>242376.06</v>
      </c>
      <c r="D412" s="26">
        <f>IFERROR(C412/B412, 0)</f>
        <v/>
      </c>
      <c r="E412" s="26">
        <f>IFERROR((B412-B411)/B411, 0)</f>
        <v/>
      </c>
      <c r="F412" s="16" t="n">
        <v>1948</v>
      </c>
    </row>
    <row r="413">
      <c r="A413" s="17" t="inlineStr">
        <is>
          <t>2004-02</t>
        </is>
      </c>
      <c r="B413" s="19" t="n">
        <v>595671.41</v>
      </c>
      <c r="C413" s="19" t="n">
        <v>233807.09</v>
      </c>
      <c r="D413" s="27">
        <f>IFERROR(C413/B413, 0)</f>
        <v/>
      </c>
      <c r="E413" s="27">
        <f>IFERROR((B413-B412)/B412, 0)</f>
        <v/>
      </c>
      <c r="F413" s="21" t="n">
        <v>1764</v>
      </c>
    </row>
    <row r="414">
      <c r="A414" s="12" t="inlineStr">
        <is>
          <t>2004-03</t>
        </is>
      </c>
      <c r="B414" s="14" t="n">
        <v>645482.73</v>
      </c>
      <c r="C414" s="14" t="n">
        <v>254810.11</v>
      </c>
      <c r="D414" s="26">
        <f>IFERROR(C414/B414, 0)</f>
        <v/>
      </c>
      <c r="E414" s="26">
        <f>IFERROR((B414-B413)/B413, 0)</f>
        <v/>
      </c>
      <c r="F414" s="16" t="n">
        <v>1959</v>
      </c>
    </row>
    <row r="415">
      <c r="A415" s="17" t="inlineStr">
        <is>
          <t>2004-04</t>
        </is>
      </c>
      <c r="B415" s="19" t="n">
        <v>620968.76</v>
      </c>
      <c r="C415" s="19" t="n">
        <v>245747.66</v>
      </c>
      <c r="D415" s="27">
        <f>IFERROR(C415/B415, 0)</f>
        <v/>
      </c>
      <c r="E415" s="27">
        <f>IFERROR((B415-B414)/B414, 0)</f>
        <v/>
      </c>
      <c r="F415" s="21" t="n">
        <v>1954</v>
      </c>
    </row>
    <row r="416">
      <c r="A416" s="12" t="inlineStr">
        <is>
          <t>2004-05</t>
        </is>
      </c>
      <c r="B416" s="14" t="n">
        <v>669987.41</v>
      </c>
      <c r="C416" s="14" t="n">
        <v>264866.72</v>
      </c>
      <c r="D416" s="26">
        <f>IFERROR(C416/B416, 0)</f>
        <v/>
      </c>
      <c r="E416" s="26">
        <f>IFERROR((B416-B415)/B415, 0)</f>
        <v/>
      </c>
      <c r="F416" s="16" t="n">
        <v>2018</v>
      </c>
    </row>
    <row r="417">
      <c r="A417" s="17" t="inlineStr">
        <is>
          <t>2004-06</t>
        </is>
      </c>
      <c r="B417" s="19" t="n">
        <v>668419.75</v>
      </c>
      <c r="C417" s="19" t="n">
        <v>267712.02</v>
      </c>
      <c r="D417" s="27">
        <f>IFERROR(C417/B417, 0)</f>
        <v/>
      </c>
      <c r="E417" s="27">
        <f>IFERROR((B417-B416)/B416, 0)</f>
        <v/>
      </c>
      <c r="F417" s="21" t="n">
        <v>1997</v>
      </c>
    </row>
    <row r="418">
      <c r="A418" s="12" t="inlineStr">
        <is>
          <t>2004-07</t>
        </is>
      </c>
      <c r="B418" s="14" t="n">
        <v>606943.5</v>
      </c>
      <c r="C418" s="14" t="n">
        <v>232894.06</v>
      </c>
      <c r="D418" s="26">
        <f>IFERROR(C418/B418, 0)</f>
        <v/>
      </c>
      <c r="E418" s="26">
        <f>IFERROR((B418-B417)/B417, 0)</f>
        <v/>
      </c>
      <c r="F418" s="16" t="n">
        <v>1884</v>
      </c>
    </row>
    <row r="419">
      <c r="A419" s="17" t="inlineStr">
        <is>
          <t>2004-08</t>
        </is>
      </c>
      <c r="B419" s="19" t="n">
        <v>603109.76</v>
      </c>
      <c r="C419" s="19" t="n">
        <v>242274.21</v>
      </c>
      <c r="D419" s="27">
        <f>IFERROR(C419/B419, 0)</f>
        <v/>
      </c>
      <c r="E419" s="27">
        <f>IFERROR((B419-B418)/B418, 0)</f>
        <v/>
      </c>
      <c r="F419" s="21" t="n">
        <v>1890</v>
      </c>
    </row>
    <row r="420">
      <c r="A420" s="12" t="inlineStr">
        <is>
          <t>2004-09</t>
        </is>
      </c>
      <c r="B420" s="14" t="n">
        <v>627555.8</v>
      </c>
      <c r="C420" s="14" t="n">
        <v>253707.14</v>
      </c>
      <c r="D420" s="26">
        <f>IFERROR(C420/B420, 0)</f>
        <v/>
      </c>
      <c r="E420" s="26">
        <f>IFERROR((B420-B419)/B419, 0)</f>
        <v/>
      </c>
      <c r="F420" s="16" t="n">
        <v>2003</v>
      </c>
    </row>
    <row r="421">
      <c r="A421" s="17" t="inlineStr">
        <is>
          <t>2004-10</t>
        </is>
      </c>
      <c r="B421" s="19" t="n">
        <v>528569.53</v>
      </c>
      <c r="C421" s="19" t="n">
        <v>206717.94</v>
      </c>
      <c r="D421" s="27">
        <f>IFERROR(C421/B421, 0)</f>
        <v/>
      </c>
      <c r="E421" s="27">
        <f>IFERROR((B421-B420)/B420, 0)</f>
        <v/>
      </c>
      <c r="F421" s="21" t="n">
        <v>1711</v>
      </c>
    </row>
    <row r="422">
      <c r="A422" s="12" t="inlineStr">
        <is>
          <t>2004-11</t>
        </is>
      </c>
      <c r="B422" s="14" t="n">
        <v>620603.61</v>
      </c>
      <c r="C422" s="14" t="n">
        <v>250588.33</v>
      </c>
      <c r="D422" s="26">
        <f>IFERROR(C422/B422, 0)</f>
        <v/>
      </c>
      <c r="E422" s="26">
        <f>IFERROR((B422-B421)/B421, 0)</f>
        <v/>
      </c>
      <c r="F422" s="16" t="n">
        <v>1875</v>
      </c>
    </row>
    <row r="423">
      <c r="A423" s="17" t="inlineStr">
        <is>
          <t>2004-12</t>
        </is>
      </c>
      <c r="B423" s="19" t="n">
        <v>579065.36</v>
      </c>
      <c r="C423" s="19" t="n">
        <v>235833.23</v>
      </c>
      <c r="D423" s="27">
        <f>IFERROR(C423/B423, 0)</f>
        <v/>
      </c>
      <c r="E423" s="27">
        <f>IFERROR((B423-B422)/B422, 0)</f>
        <v/>
      </c>
      <c r="F423" s="21" t="n">
        <v>1839</v>
      </c>
    </row>
    <row r="424">
      <c r="A424" s="12" t="inlineStr">
        <is>
          <t>2005-01</t>
        </is>
      </c>
      <c r="B424" s="14" t="n">
        <v>609274.76</v>
      </c>
      <c r="C424" s="14" t="n">
        <v>235635.78</v>
      </c>
      <c r="D424" s="26">
        <f>IFERROR(C424/B424, 0)</f>
        <v/>
      </c>
      <c r="E424" s="26">
        <f>IFERROR((B424-B423)/B423, 0)</f>
        <v/>
      </c>
      <c r="F424" s="16" t="n">
        <v>1891</v>
      </c>
    </row>
    <row r="425">
      <c r="A425" s="17" t="inlineStr">
        <is>
          <t>2005-02</t>
        </is>
      </c>
      <c r="B425" s="19" t="n">
        <v>522422.41</v>
      </c>
      <c r="C425" s="19" t="n">
        <v>214505.36</v>
      </c>
      <c r="D425" s="27">
        <f>IFERROR(C425/B425, 0)</f>
        <v/>
      </c>
      <c r="E425" s="27">
        <f>IFERROR((B425-B424)/B424, 0)</f>
        <v/>
      </c>
      <c r="F425" s="21" t="n">
        <v>1649</v>
      </c>
    </row>
    <row r="426">
      <c r="A426" s="12" t="inlineStr">
        <is>
          <t>2005-03</t>
        </is>
      </c>
      <c r="B426" s="14" t="n">
        <v>681881.53</v>
      </c>
      <c r="C426" s="14" t="n">
        <v>270253.04</v>
      </c>
      <c r="D426" s="26">
        <f>IFERROR(C426/B426, 0)</f>
        <v/>
      </c>
      <c r="E426" s="26">
        <f>IFERROR((B426-B425)/B425, 0)</f>
        <v/>
      </c>
      <c r="F426" s="16" t="n">
        <v>2153</v>
      </c>
    </row>
    <row r="427">
      <c r="A427" s="17" t="inlineStr">
        <is>
          <t>2005-04</t>
        </is>
      </c>
      <c r="B427" s="19" t="n">
        <v>580422.05</v>
      </c>
      <c r="C427" s="19" t="n">
        <v>224573.65</v>
      </c>
      <c r="D427" s="27">
        <f>IFERROR(C427/B427, 0)</f>
        <v/>
      </c>
      <c r="E427" s="27">
        <f>IFERROR((B427-B426)/B426, 0)</f>
        <v/>
      </c>
      <c r="F427" s="21" t="n">
        <v>1923</v>
      </c>
    </row>
    <row r="428">
      <c r="A428" s="12" t="inlineStr">
        <is>
          <t>2005-05</t>
        </is>
      </c>
      <c r="B428" s="14" t="n">
        <v>656178.38</v>
      </c>
      <c r="C428" s="14" t="n">
        <v>252963.4</v>
      </c>
      <c r="D428" s="26">
        <f>IFERROR(C428/B428, 0)</f>
        <v/>
      </c>
      <c r="E428" s="26">
        <f>IFERROR((B428-B427)/B427, 0)</f>
        <v/>
      </c>
      <c r="F428" s="16" t="n">
        <v>2027</v>
      </c>
    </row>
    <row r="429">
      <c r="A429" s="17" t="inlineStr">
        <is>
          <t>2005-06</t>
        </is>
      </c>
      <c r="B429" s="19" t="n">
        <v>690450.42</v>
      </c>
      <c r="C429" s="19" t="n">
        <v>281987.59</v>
      </c>
      <c r="D429" s="27">
        <f>IFERROR(C429/B429, 0)</f>
        <v/>
      </c>
      <c r="E429" s="27">
        <f>IFERROR((B429-B428)/B428, 0)</f>
        <v/>
      </c>
      <c r="F429" s="21" t="n">
        <v>2205</v>
      </c>
    </row>
    <row r="430">
      <c r="A430" s="12" t="inlineStr">
        <is>
          <t>2005-07</t>
        </is>
      </c>
      <c r="B430" s="14" t="n">
        <v>632304.23</v>
      </c>
      <c r="C430" s="14" t="n">
        <v>243802.42</v>
      </c>
      <c r="D430" s="26">
        <f>IFERROR(C430/B430, 0)</f>
        <v/>
      </c>
      <c r="E430" s="26">
        <f>IFERROR((B430-B429)/B429, 0)</f>
        <v/>
      </c>
      <c r="F430" s="16" t="n">
        <v>1986</v>
      </c>
    </row>
    <row r="431">
      <c r="A431" s="17" t="inlineStr">
        <is>
          <t>2005-08</t>
        </is>
      </c>
      <c r="B431" s="19" t="n">
        <v>609950.46</v>
      </c>
      <c r="C431" s="19" t="n">
        <v>240382.11</v>
      </c>
      <c r="D431" s="27">
        <f>IFERROR(C431/B431, 0)</f>
        <v/>
      </c>
      <c r="E431" s="27">
        <f>IFERROR((B431-B430)/B430, 0)</f>
        <v/>
      </c>
      <c r="F431" s="21" t="n">
        <v>1979</v>
      </c>
    </row>
    <row r="432">
      <c r="A432" s="12" t="inlineStr">
        <is>
          <t>2005-09</t>
        </is>
      </c>
      <c r="B432" s="14" t="n">
        <v>601028.54</v>
      </c>
      <c r="C432" s="14" t="n">
        <v>233453.56</v>
      </c>
      <c r="D432" s="26">
        <f>IFERROR(C432/B432, 0)</f>
        <v/>
      </c>
      <c r="E432" s="26">
        <f>IFERROR((B432-B431)/B431, 0)</f>
        <v/>
      </c>
      <c r="F432" s="16" t="n">
        <v>1885</v>
      </c>
    </row>
    <row r="433">
      <c r="A433" s="17" t="inlineStr">
        <is>
          <t>2005-10</t>
        </is>
      </c>
      <c r="B433" s="19" t="n">
        <v>684227.17</v>
      </c>
      <c r="C433" s="19" t="n">
        <v>270029.24</v>
      </c>
      <c r="D433" s="27">
        <f>IFERROR(C433/B433, 0)</f>
        <v/>
      </c>
      <c r="E433" s="27">
        <f>IFERROR((B433-B432)/B432, 0)</f>
        <v/>
      </c>
      <c r="F433" s="21" t="n">
        <v>2195</v>
      </c>
    </row>
    <row r="434">
      <c r="A434" s="12" t="inlineStr">
        <is>
          <t>2005-11</t>
        </is>
      </c>
      <c r="B434" s="14" t="n">
        <v>578107.8</v>
      </c>
      <c r="C434" s="14" t="n">
        <v>228539.79</v>
      </c>
      <c r="D434" s="26">
        <f>IFERROR(C434/B434, 0)</f>
        <v/>
      </c>
      <c r="E434" s="26">
        <f>IFERROR((B434-B433)/B433, 0)</f>
        <v/>
      </c>
      <c r="F434" s="16" t="n">
        <v>1794</v>
      </c>
    </row>
    <row r="435">
      <c r="A435" s="17" t="inlineStr">
        <is>
          <t>2005-12</t>
        </is>
      </c>
      <c r="B435" s="19" t="n">
        <v>639752.54</v>
      </c>
      <c r="C435" s="19" t="n">
        <v>246294.6</v>
      </c>
      <c r="D435" s="27">
        <f>IFERROR(C435/B435, 0)</f>
        <v/>
      </c>
      <c r="E435" s="27">
        <f>IFERROR((B435-B434)/B434, 0)</f>
        <v/>
      </c>
      <c r="F435" s="21" t="n">
        <v>1973</v>
      </c>
    </row>
    <row r="436">
      <c r="A436" s="12" t="inlineStr">
        <is>
          <t>2006-01</t>
        </is>
      </c>
      <c r="B436" s="14" t="n">
        <v>654668.13</v>
      </c>
      <c r="C436" s="14" t="n">
        <v>254373.45</v>
      </c>
      <c r="D436" s="26">
        <f>IFERROR(C436/B436, 0)</f>
        <v/>
      </c>
      <c r="E436" s="26">
        <f>IFERROR((B436-B435)/B435, 0)</f>
        <v/>
      </c>
      <c r="F436" s="16" t="n">
        <v>1979</v>
      </c>
    </row>
    <row r="437">
      <c r="A437" s="17" t="inlineStr">
        <is>
          <t>2006-02</t>
        </is>
      </c>
      <c r="B437" s="19" t="n">
        <v>542744.99</v>
      </c>
      <c r="C437" s="19" t="n">
        <v>218024.48</v>
      </c>
      <c r="D437" s="27">
        <f>IFERROR(C437/B437, 0)</f>
        <v/>
      </c>
      <c r="E437" s="27">
        <f>IFERROR((B437-B436)/B436, 0)</f>
        <v/>
      </c>
      <c r="F437" s="21" t="n">
        <v>1796</v>
      </c>
    </row>
    <row r="438">
      <c r="A438" s="12" t="inlineStr">
        <is>
          <t>2006-03</t>
        </is>
      </c>
      <c r="B438" s="14" t="n">
        <v>559157.24</v>
      </c>
      <c r="C438" s="14" t="n">
        <v>223546.47</v>
      </c>
      <c r="D438" s="26">
        <f>IFERROR(C438/B438, 0)</f>
        <v/>
      </c>
      <c r="E438" s="26">
        <f>IFERROR((B438-B437)/B437, 0)</f>
        <v/>
      </c>
      <c r="F438" s="16" t="n">
        <v>1845</v>
      </c>
    </row>
    <row r="439">
      <c r="A439" s="17" t="inlineStr">
        <is>
          <t>2006-04</t>
        </is>
      </c>
      <c r="B439" s="19" t="n">
        <v>593373.9</v>
      </c>
      <c r="C439" s="19" t="n">
        <v>234907.03</v>
      </c>
      <c r="D439" s="27">
        <f>IFERROR(C439/B439, 0)</f>
        <v/>
      </c>
      <c r="E439" s="27">
        <f>IFERROR((B439-B438)/B438, 0)</f>
        <v/>
      </c>
      <c r="F439" s="21" t="n">
        <v>1896</v>
      </c>
    </row>
    <row r="440">
      <c r="A440" s="12" t="inlineStr">
        <is>
          <t>2006-05</t>
        </is>
      </c>
      <c r="B440" s="14" t="n">
        <v>630450.84</v>
      </c>
      <c r="C440" s="14" t="n">
        <v>254767.8</v>
      </c>
      <c r="D440" s="26">
        <f>IFERROR(C440/B440, 0)</f>
        <v/>
      </c>
      <c r="E440" s="26">
        <f>IFERROR((B440-B439)/B439, 0)</f>
        <v/>
      </c>
      <c r="F440" s="16" t="n">
        <v>2110</v>
      </c>
    </row>
    <row r="441">
      <c r="A441" s="17" t="inlineStr">
        <is>
          <t>2006-06</t>
        </is>
      </c>
      <c r="B441" s="19" t="n">
        <v>600426.41</v>
      </c>
      <c r="C441" s="19" t="n">
        <v>234117.21</v>
      </c>
      <c r="D441" s="27">
        <f>IFERROR(C441/B441, 0)</f>
        <v/>
      </c>
      <c r="E441" s="27">
        <f>IFERROR((B441-B440)/B440, 0)</f>
        <v/>
      </c>
      <c r="F441" s="21" t="n">
        <v>1878</v>
      </c>
    </row>
    <row r="442">
      <c r="A442" s="12" t="inlineStr">
        <is>
          <t>2006-07</t>
        </is>
      </c>
      <c r="B442" s="14" t="n">
        <v>621208.35</v>
      </c>
      <c r="C442" s="14" t="n">
        <v>244213.59</v>
      </c>
      <c r="D442" s="26">
        <f>IFERROR(C442/B442, 0)</f>
        <v/>
      </c>
      <c r="E442" s="26">
        <f>IFERROR((B442-B441)/B441, 0)</f>
        <v/>
      </c>
      <c r="F442" s="16" t="n">
        <v>2012</v>
      </c>
    </row>
    <row r="443">
      <c r="A443" s="17" t="inlineStr">
        <is>
          <t>2006-08</t>
        </is>
      </c>
      <c r="B443" s="19" t="n">
        <v>593860.9</v>
      </c>
      <c r="C443" s="19" t="n">
        <v>237898.58</v>
      </c>
      <c r="D443" s="27">
        <f>IFERROR(C443/B443, 0)</f>
        <v/>
      </c>
      <c r="E443" s="27">
        <f>IFERROR((B443-B442)/B442, 0)</f>
        <v/>
      </c>
      <c r="F443" s="21" t="n">
        <v>1774</v>
      </c>
    </row>
    <row r="444">
      <c r="A444" s="12" t="inlineStr">
        <is>
          <t>2006-09</t>
        </is>
      </c>
      <c r="B444" s="14" t="n">
        <v>566833.74</v>
      </c>
      <c r="C444" s="14" t="n">
        <v>223312.06</v>
      </c>
      <c r="D444" s="26">
        <f>IFERROR(C444/B444, 0)</f>
        <v/>
      </c>
      <c r="E444" s="26">
        <f>IFERROR((B444-B443)/B443, 0)</f>
        <v/>
      </c>
      <c r="F444" s="16" t="n">
        <v>1825</v>
      </c>
    </row>
    <row r="445">
      <c r="A445" s="17" t="inlineStr">
        <is>
          <t>2006-10</t>
        </is>
      </c>
      <c r="B445" s="19" t="n">
        <v>602587.05</v>
      </c>
      <c r="C445" s="19" t="n">
        <v>240966.12</v>
      </c>
      <c r="D445" s="27">
        <f>IFERROR(C445/B445, 0)</f>
        <v/>
      </c>
      <c r="E445" s="27">
        <f>IFERROR((B445-B444)/B444, 0)</f>
        <v/>
      </c>
      <c r="F445" s="21" t="n">
        <v>1890</v>
      </c>
    </row>
    <row r="446">
      <c r="A446" s="12" t="inlineStr">
        <is>
          <t>2006-11</t>
        </is>
      </c>
      <c r="B446" s="14" t="n">
        <v>683972.39</v>
      </c>
      <c r="C446" s="14" t="n">
        <v>270668.53</v>
      </c>
      <c r="D446" s="26">
        <f>IFERROR(C446/B446, 0)</f>
        <v/>
      </c>
      <c r="E446" s="26">
        <f>IFERROR((B446-B445)/B445, 0)</f>
        <v/>
      </c>
      <c r="F446" s="16" t="n">
        <v>2042</v>
      </c>
    </row>
    <row r="447">
      <c r="A447" s="17" t="inlineStr">
        <is>
          <t>2006-12</t>
        </is>
      </c>
      <c r="B447" s="19" t="n">
        <v>478668.59</v>
      </c>
      <c r="C447" s="19" t="n">
        <v>187979.2</v>
      </c>
      <c r="D447" s="27">
        <f>IFERROR(C447/B447, 0)</f>
        <v/>
      </c>
      <c r="E447" s="27">
        <f>IFERROR((B447-B446)/B446, 0)</f>
        <v/>
      </c>
      <c r="F447" s="21" t="n">
        <v>1507</v>
      </c>
    </row>
    <row r="448">
      <c r="A448" s="12" t="inlineStr">
        <is>
          <t>2007-01</t>
        </is>
      </c>
      <c r="B448" s="14" t="n">
        <v>587645.3100000001</v>
      </c>
      <c r="C448" s="14" t="n">
        <v>234166.07</v>
      </c>
      <c r="D448" s="26">
        <f>IFERROR(C448/B448, 0)</f>
        <v/>
      </c>
      <c r="E448" s="26">
        <f>IFERROR((B448-B447)/B447, 0)</f>
        <v/>
      </c>
      <c r="F448" s="16" t="n">
        <v>1870</v>
      </c>
    </row>
    <row r="449">
      <c r="A449" s="17" t="inlineStr">
        <is>
          <t>2007-02</t>
        </is>
      </c>
      <c r="B449" s="19" t="n">
        <v>535003.41</v>
      </c>
      <c r="C449" s="19" t="n">
        <v>210351.38</v>
      </c>
      <c r="D449" s="27">
        <f>IFERROR(C449/B449, 0)</f>
        <v/>
      </c>
      <c r="E449" s="27">
        <f>IFERROR((B449-B448)/B448, 0)</f>
        <v/>
      </c>
      <c r="F449" s="21" t="n">
        <v>1705</v>
      </c>
    </row>
    <row r="450">
      <c r="A450" s="12" t="inlineStr">
        <is>
          <t>2007-03</t>
        </is>
      </c>
      <c r="B450" s="14" t="n">
        <v>621307.51</v>
      </c>
      <c r="C450" s="14" t="n">
        <v>244533.01</v>
      </c>
      <c r="D450" s="26">
        <f>IFERROR(C450/B450, 0)</f>
        <v/>
      </c>
      <c r="E450" s="26">
        <f>IFERROR((B450-B449)/B449, 0)</f>
        <v/>
      </c>
      <c r="F450" s="16" t="n">
        <v>1839</v>
      </c>
    </row>
    <row r="451">
      <c r="A451" s="17" t="inlineStr">
        <is>
          <t>2007-04</t>
        </is>
      </c>
      <c r="B451" s="19" t="n">
        <v>576108.34</v>
      </c>
      <c r="C451" s="19" t="n">
        <v>229698.38</v>
      </c>
      <c r="D451" s="27">
        <f>IFERROR(C451/B451, 0)</f>
        <v/>
      </c>
      <c r="E451" s="27">
        <f>IFERROR((B451-B450)/B450, 0)</f>
        <v/>
      </c>
      <c r="F451" s="21" t="n">
        <v>1841</v>
      </c>
    </row>
    <row r="452">
      <c r="A452" s="12" t="inlineStr">
        <is>
          <t>2007-05</t>
        </is>
      </c>
      <c r="B452" s="14" t="n">
        <v>602554.71</v>
      </c>
      <c r="C452" s="14" t="n">
        <v>231692.19</v>
      </c>
      <c r="D452" s="26">
        <f>IFERROR(C452/B452, 0)</f>
        <v/>
      </c>
      <c r="E452" s="26">
        <f>IFERROR((B452-B451)/B451, 0)</f>
        <v/>
      </c>
      <c r="F452" s="16" t="n">
        <v>1878</v>
      </c>
    </row>
    <row r="453">
      <c r="A453" s="17" t="inlineStr">
        <is>
          <t>2007-06</t>
        </is>
      </c>
      <c r="B453" s="19" t="n">
        <v>656057.16</v>
      </c>
      <c r="C453" s="19" t="n">
        <v>251705.56</v>
      </c>
      <c r="D453" s="27">
        <f>IFERROR(C453/B453, 0)</f>
        <v/>
      </c>
      <c r="E453" s="27">
        <f>IFERROR((B453-B452)/B452, 0)</f>
        <v/>
      </c>
      <c r="F453" s="21" t="n">
        <v>1987</v>
      </c>
    </row>
    <row r="454">
      <c r="A454" s="12" t="inlineStr">
        <is>
          <t>2007-07</t>
        </is>
      </c>
      <c r="B454" s="14" t="n">
        <v>700444.36</v>
      </c>
      <c r="C454" s="14" t="n">
        <v>276903.22</v>
      </c>
      <c r="D454" s="26">
        <f>IFERROR(C454/B454, 0)</f>
        <v/>
      </c>
      <c r="E454" s="26">
        <f>IFERROR((B454-B453)/B453, 0)</f>
        <v/>
      </c>
      <c r="F454" s="16" t="n">
        <v>2145</v>
      </c>
    </row>
    <row r="455">
      <c r="A455" s="17" t="inlineStr">
        <is>
          <t>2007-08</t>
        </is>
      </c>
      <c r="B455" s="19" t="n">
        <v>622379.23</v>
      </c>
      <c r="C455" s="19" t="n">
        <v>244020.83</v>
      </c>
      <c r="D455" s="27">
        <f>IFERROR(C455/B455, 0)</f>
        <v/>
      </c>
      <c r="E455" s="27">
        <f>IFERROR((B455-B454)/B454, 0)</f>
        <v/>
      </c>
      <c r="F455" s="21" t="n">
        <v>1956</v>
      </c>
    </row>
    <row r="456">
      <c r="A456" s="12" t="inlineStr">
        <is>
          <t>2007-09</t>
        </is>
      </c>
      <c r="B456" s="14" t="n">
        <v>667650.62</v>
      </c>
      <c r="C456" s="14" t="n">
        <v>268991.06</v>
      </c>
      <c r="D456" s="26">
        <f>IFERROR(C456/B456, 0)</f>
        <v/>
      </c>
      <c r="E456" s="26">
        <f>IFERROR((B456-B455)/B455, 0)</f>
        <v/>
      </c>
      <c r="F456" s="16" t="n">
        <v>2034</v>
      </c>
    </row>
    <row r="457">
      <c r="A457" s="17" t="inlineStr">
        <is>
          <t>2007-10</t>
        </is>
      </c>
      <c r="B457" s="19" t="n">
        <v>555137.01</v>
      </c>
      <c r="C457" s="19" t="n">
        <v>224779.59</v>
      </c>
      <c r="D457" s="27">
        <f>IFERROR(C457/B457, 0)</f>
        <v/>
      </c>
      <c r="E457" s="27">
        <f>IFERROR((B457-B456)/B456, 0)</f>
        <v/>
      </c>
      <c r="F457" s="21" t="n">
        <v>1803</v>
      </c>
    </row>
    <row r="458">
      <c r="A458" s="12" t="inlineStr">
        <is>
          <t>2007-11</t>
        </is>
      </c>
      <c r="B458" s="14" t="n">
        <v>683433.72</v>
      </c>
      <c r="C458" s="14" t="n">
        <v>266983.93</v>
      </c>
      <c r="D458" s="26">
        <f>IFERROR(C458/B458, 0)</f>
        <v/>
      </c>
      <c r="E458" s="26">
        <f>IFERROR((B458-B457)/B457, 0)</f>
        <v/>
      </c>
      <c r="F458" s="16" t="n">
        <v>2051</v>
      </c>
    </row>
    <row r="459">
      <c r="A459" s="17" t="inlineStr">
        <is>
          <t>2007-12</t>
        </is>
      </c>
      <c r="B459" s="19" t="n">
        <v>619999.53</v>
      </c>
      <c r="C459" s="19" t="n">
        <v>241412</v>
      </c>
      <c r="D459" s="27">
        <f>IFERROR(C459/B459, 0)</f>
        <v/>
      </c>
      <c r="E459" s="27">
        <f>IFERROR((B459-B458)/B458, 0)</f>
        <v/>
      </c>
      <c r="F459" s="21" t="n">
        <v>1924</v>
      </c>
    </row>
    <row r="460">
      <c r="A460" s="12" t="inlineStr">
        <is>
          <t>2008-01</t>
        </is>
      </c>
      <c r="B460" s="14" t="n">
        <v>624780.6800000001</v>
      </c>
      <c r="C460" s="14" t="n">
        <v>245921.55</v>
      </c>
      <c r="D460" s="26">
        <f>IFERROR(C460/B460, 0)</f>
        <v/>
      </c>
      <c r="E460" s="26">
        <f>IFERROR((B460-B459)/B459, 0)</f>
        <v/>
      </c>
      <c r="F460" s="16" t="n">
        <v>1960</v>
      </c>
    </row>
    <row r="461">
      <c r="A461" s="17" t="inlineStr">
        <is>
          <t>2008-02</t>
        </is>
      </c>
      <c r="B461" s="19" t="n">
        <v>574436.04</v>
      </c>
      <c r="C461" s="19" t="n">
        <v>224800.92</v>
      </c>
      <c r="D461" s="27">
        <f>IFERROR(C461/B461, 0)</f>
        <v/>
      </c>
      <c r="E461" s="27">
        <f>IFERROR((B461-B460)/B460, 0)</f>
        <v/>
      </c>
      <c r="F461" s="21" t="n">
        <v>1756</v>
      </c>
    </row>
    <row r="462">
      <c r="A462" s="12" t="inlineStr">
        <is>
          <t>2008-03</t>
        </is>
      </c>
      <c r="B462" s="14" t="n">
        <v>670263.26</v>
      </c>
      <c r="C462" s="14" t="n">
        <v>262421.47</v>
      </c>
      <c r="D462" s="26">
        <f>IFERROR(C462/B462, 0)</f>
        <v/>
      </c>
      <c r="E462" s="26">
        <f>IFERROR((B462-B461)/B461, 0)</f>
        <v/>
      </c>
      <c r="F462" s="16" t="n">
        <v>2028</v>
      </c>
    </row>
    <row r="463">
      <c r="A463" s="17" t="inlineStr">
        <is>
          <t>2008-04</t>
        </is>
      </c>
      <c r="B463" s="19" t="n">
        <v>572657.5</v>
      </c>
      <c r="C463" s="19" t="n">
        <v>231316.34</v>
      </c>
      <c r="D463" s="27">
        <f>IFERROR(C463/B463, 0)</f>
        <v/>
      </c>
      <c r="E463" s="27">
        <f>IFERROR((B463-B462)/B462, 0)</f>
        <v/>
      </c>
      <c r="F463" s="21" t="n">
        <v>1804</v>
      </c>
    </row>
    <row r="464">
      <c r="A464" s="12" t="inlineStr">
        <is>
          <t>2008-05</t>
        </is>
      </c>
      <c r="B464" s="14" t="n">
        <v>666845.83</v>
      </c>
      <c r="C464" s="14" t="n">
        <v>263833.67</v>
      </c>
      <c r="D464" s="26">
        <f>IFERROR(C464/B464, 0)</f>
        <v/>
      </c>
      <c r="E464" s="26">
        <f>IFERROR((B464-B463)/B463, 0)</f>
        <v/>
      </c>
      <c r="F464" s="16" t="n">
        <v>2152</v>
      </c>
    </row>
    <row r="465">
      <c r="A465" s="17" t="inlineStr">
        <is>
          <t>2008-06</t>
        </is>
      </c>
      <c r="B465" s="19" t="n">
        <v>616030.58</v>
      </c>
      <c r="C465" s="19" t="n">
        <v>242573.88</v>
      </c>
      <c r="D465" s="27">
        <f>IFERROR(C465/B465, 0)</f>
        <v/>
      </c>
      <c r="E465" s="27">
        <f>IFERROR((B465-B464)/B464, 0)</f>
        <v/>
      </c>
      <c r="F465" s="21" t="n">
        <v>1952</v>
      </c>
    </row>
    <row r="466">
      <c r="A466" s="12" t="inlineStr">
        <is>
          <t>2008-07</t>
        </is>
      </c>
      <c r="B466" s="14" t="n">
        <v>578512.12</v>
      </c>
      <c r="C466" s="14" t="n">
        <v>223895.83</v>
      </c>
      <c r="D466" s="26">
        <f>IFERROR(C466/B466, 0)</f>
        <v/>
      </c>
      <c r="E466" s="26">
        <f>IFERROR((B466-B465)/B465, 0)</f>
        <v/>
      </c>
      <c r="F466" s="16" t="n">
        <v>1728</v>
      </c>
    </row>
    <row r="467">
      <c r="A467" s="17" t="inlineStr">
        <is>
          <t>2008-08</t>
        </is>
      </c>
      <c r="B467" s="19" t="n">
        <v>666174.77</v>
      </c>
      <c r="C467" s="19" t="n">
        <v>265284.39</v>
      </c>
      <c r="D467" s="27">
        <f>IFERROR(C467/B467, 0)</f>
        <v/>
      </c>
      <c r="E467" s="27">
        <f>IFERROR((B467-B466)/B466, 0)</f>
        <v/>
      </c>
      <c r="F467" s="21" t="n">
        <v>2144</v>
      </c>
    </row>
    <row r="468">
      <c r="A468" s="12" t="inlineStr">
        <is>
          <t>2008-09</t>
        </is>
      </c>
      <c r="B468" s="14" t="n">
        <v>677041.24</v>
      </c>
      <c r="C468" s="14" t="n">
        <v>262700.43</v>
      </c>
      <c r="D468" s="26">
        <f>IFERROR(C468/B468, 0)</f>
        <v/>
      </c>
      <c r="E468" s="26">
        <f>IFERROR((B468-B467)/B467, 0)</f>
        <v/>
      </c>
      <c r="F468" s="16" t="n">
        <v>2081</v>
      </c>
    </row>
    <row r="469">
      <c r="A469" s="17" t="inlineStr">
        <is>
          <t>2008-10</t>
        </is>
      </c>
      <c r="B469" s="19" t="n">
        <v>653904.15</v>
      </c>
      <c r="C469" s="19" t="n">
        <v>263503.39</v>
      </c>
      <c r="D469" s="27">
        <f>IFERROR(C469/B469, 0)</f>
        <v/>
      </c>
      <c r="E469" s="27">
        <f>IFERROR((B469-B468)/B468, 0)</f>
        <v/>
      </c>
      <c r="F469" s="21" t="n">
        <v>2035</v>
      </c>
    </row>
    <row r="470">
      <c r="A470" s="12" t="inlineStr">
        <is>
          <t>2008-11</t>
        </is>
      </c>
      <c r="B470" s="14" t="n">
        <v>574561.1</v>
      </c>
      <c r="C470" s="14" t="n">
        <v>231888.64</v>
      </c>
      <c r="D470" s="26">
        <f>IFERROR(C470/B470, 0)</f>
        <v/>
      </c>
      <c r="E470" s="26">
        <f>IFERROR((B470-B469)/B469, 0)</f>
        <v/>
      </c>
      <c r="F470" s="16" t="n">
        <v>1790</v>
      </c>
    </row>
    <row r="471">
      <c r="A471" s="17" t="inlineStr">
        <is>
          <t>2008-12</t>
        </is>
      </c>
      <c r="B471" s="19" t="n">
        <v>554243.98</v>
      </c>
      <c r="C471" s="19" t="n">
        <v>217956.61</v>
      </c>
      <c r="D471" s="27">
        <f>IFERROR(C471/B471, 0)</f>
        <v/>
      </c>
      <c r="E471" s="27">
        <f>IFERROR((B471-B470)/B470, 0)</f>
        <v/>
      </c>
      <c r="F471" s="21" t="n">
        <v>1827</v>
      </c>
    </row>
    <row r="472">
      <c r="A472" s="12" t="inlineStr">
        <is>
          <t>2009-01</t>
        </is>
      </c>
      <c r="B472" s="14" t="n">
        <v>563860.33</v>
      </c>
      <c r="C472" s="14" t="n">
        <v>226274.47</v>
      </c>
      <c r="D472" s="26">
        <f>IFERROR(C472/B472, 0)</f>
        <v/>
      </c>
      <c r="E472" s="26">
        <f>IFERROR((B472-B471)/B471, 0)</f>
        <v/>
      </c>
      <c r="F472" s="16" t="n">
        <v>1746</v>
      </c>
    </row>
    <row r="473">
      <c r="A473" s="17" t="inlineStr">
        <is>
          <t>2009-02</t>
        </is>
      </c>
      <c r="B473" s="19" t="n">
        <v>547957.28</v>
      </c>
      <c r="C473" s="19" t="n">
        <v>214359.34</v>
      </c>
      <c r="D473" s="27">
        <f>IFERROR(C473/B473, 0)</f>
        <v/>
      </c>
      <c r="E473" s="27">
        <f>IFERROR((B473-B472)/B472, 0)</f>
        <v/>
      </c>
      <c r="F473" s="21" t="n">
        <v>1712</v>
      </c>
    </row>
    <row r="474">
      <c r="A474" s="12" t="inlineStr">
        <is>
          <t>2009-03</t>
        </is>
      </c>
      <c r="B474" s="14" t="n">
        <v>566294.77</v>
      </c>
      <c r="C474" s="14" t="n">
        <v>219427.18</v>
      </c>
      <c r="D474" s="26">
        <f>IFERROR(C474/B474, 0)</f>
        <v/>
      </c>
      <c r="E474" s="26">
        <f>IFERROR((B474-B473)/B473, 0)</f>
        <v/>
      </c>
      <c r="F474" s="16" t="n">
        <v>1793</v>
      </c>
    </row>
    <row r="475">
      <c r="A475" s="17" t="inlineStr">
        <is>
          <t>2009-04</t>
        </is>
      </c>
      <c r="B475" s="19" t="n">
        <v>664459.63</v>
      </c>
      <c r="C475" s="19" t="n">
        <v>258808.06</v>
      </c>
      <c r="D475" s="27">
        <f>IFERROR(C475/B475, 0)</f>
        <v/>
      </c>
      <c r="E475" s="27">
        <f>IFERROR((B475-B474)/B474, 0)</f>
        <v/>
      </c>
      <c r="F475" s="21" t="n">
        <v>2011</v>
      </c>
    </row>
    <row r="476">
      <c r="A476" s="12" t="inlineStr">
        <is>
          <t>2009-05</t>
        </is>
      </c>
      <c r="B476" s="14" t="n">
        <v>641511.88</v>
      </c>
      <c r="C476" s="14" t="n">
        <v>253056.41</v>
      </c>
      <c r="D476" s="26">
        <f>IFERROR(C476/B476, 0)</f>
        <v/>
      </c>
      <c r="E476" s="26">
        <f>IFERROR((B476-B475)/B475, 0)</f>
        <v/>
      </c>
      <c r="F476" s="16" t="n">
        <v>1961</v>
      </c>
    </row>
    <row r="477">
      <c r="A477" s="17" t="inlineStr">
        <is>
          <t>2009-06</t>
        </is>
      </c>
      <c r="B477" s="19" t="n">
        <v>534709.1899999999</v>
      </c>
      <c r="C477" s="19" t="n">
        <v>209963.54</v>
      </c>
      <c r="D477" s="27">
        <f>IFERROR(C477/B477, 0)</f>
        <v/>
      </c>
      <c r="E477" s="27">
        <f>IFERROR((B477-B476)/B476, 0)</f>
        <v/>
      </c>
      <c r="F477" s="21" t="n">
        <v>1620</v>
      </c>
    </row>
    <row r="478">
      <c r="A478" s="12" t="inlineStr">
        <is>
          <t>2009-07</t>
        </is>
      </c>
      <c r="B478" s="14" t="n">
        <v>664857.24</v>
      </c>
      <c r="C478" s="14" t="n">
        <v>261015.58</v>
      </c>
      <c r="D478" s="26">
        <f>IFERROR(C478/B478, 0)</f>
        <v/>
      </c>
      <c r="E478" s="26">
        <f>IFERROR((B478-B477)/B477, 0)</f>
        <v/>
      </c>
      <c r="F478" s="16" t="n">
        <v>2026</v>
      </c>
    </row>
    <row r="479">
      <c r="A479" s="17" t="inlineStr">
        <is>
          <t>2009-08</t>
        </is>
      </c>
      <c r="B479" s="19" t="n">
        <v>677935.16</v>
      </c>
      <c r="C479" s="19" t="n">
        <v>269009.45</v>
      </c>
      <c r="D479" s="27">
        <f>IFERROR(C479/B479, 0)</f>
        <v/>
      </c>
      <c r="E479" s="27">
        <f>IFERROR((B479-B478)/B478, 0)</f>
        <v/>
      </c>
      <c r="F479" s="21" t="n">
        <v>2210</v>
      </c>
    </row>
    <row r="480">
      <c r="A480" s="12" t="inlineStr">
        <is>
          <t>2009-09</t>
        </is>
      </c>
      <c r="B480" s="14" t="n">
        <v>589462.01</v>
      </c>
      <c r="C480" s="14" t="n">
        <v>232223.23</v>
      </c>
      <c r="D480" s="26">
        <f>IFERROR(C480/B480, 0)</f>
        <v/>
      </c>
      <c r="E480" s="26">
        <f>IFERROR((B480-B479)/B479, 0)</f>
        <v/>
      </c>
      <c r="F480" s="16" t="n">
        <v>1710</v>
      </c>
    </row>
    <row r="481">
      <c r="A481" s="17" t="inlineStr">
        <is>
          <t>2009-10</t>
        </is>
      </c>
      <c r="B481" s="19" t="n">
        <v>654743.96</v>
      </c>
      <c r="C481" s="19" t="n">
        <v>261099.26</v>
      </c>
      <c r="D481" s="27">
        <f>IFERROR(C481/B481, 0)</f>
        <v/>
      </c>
      <c r="E481" s="27">
        <f>IFERROR((B481-B480)/B480, 0)</f>
        <v/>
      </c>
      <c r="F481" s="21" t="n">
        <v>2131</v>
      </c>
    </row>
    <row r="482">
      <c r="A482" s="12" t="inlineStr">
        <is>
          <t>2009-11</t>
        </is>
      </c>
      <c r="B482" s="14" t="n">
        <v>610462.22</v>
      </c>
      <c r="C482" s="14" t="n">
        <v>239870.92</v>
      </c>
      <c r="D482" s="26">
        <f>IFERROR(C482/B482, 0)</f>
        <v/>
      </c>
      <c r="E482" s="26">
        <f>IFERROR((B482-B481)/B481, 0)</f>
        <v/>
      </c>
      <c r="F482" s="16" t="n">
        <v>1914</v>
      </c>
    </row>
    <row r="483">
      <c r="A483" s="17" t="inlineStr">
        <is>
          <t>2009-12</t>
        </is>
      </c>
      <c r="B483" s="19" t="n">
        <v>644428.5</v>
      </c>
      <c r="C483" s="19" t="n">
        <v>258492.43</v>
      </c>
      <c r="D483" s="27">
        <f>IFERROR(C483/B483, 0)</f>
        <v/>
      </c>
      <c r="E483" s="27">
        <f>IFERROR((B483-B482)/B482, 0)</f>
        <v/>
      </c>
      <c r="F483" s="21" t="n">
        <v>1994</v>
      </c>
    </row>
    <row r="484">
      <c r="A484" s="12" t="inlineStr">
        <is>
          <t>2010-01</t>
        </is>
      </c>
      <c r="B484" s="14" t="n">
        <v>614841.5699999999</v>
      </c>
      <c r="C484" s="14" t="n">
        <v>242634.81</v>
      </c>
      <c r="D484" s="26">
        <f>IFERROR(C484/B484, 0)</f>
        <v/>
      </c>
      <c r="E484" s="26">
        <f>IFERROR((B484-B483)/B483, 0)</f>
        <v/>
      </c>
      <c r="F484" s="16" t="n">
        <v>2023</v>
      </c>
    </row>
    <row r="485">
      <c r="A485" s="17" t="inlineStr">
        <is>
          <t>2010-02</t>
        </is>
      </c>
      <c r="B485" s="19" t="n">
        <v>572209.66</v>
      </c>
      <c r="C485" s="19" t="n">
        <v>223245.32</v>
      </c>
      <c r="D485" s="27">
        <f>IFERROR(C485/B485, 0)</f>
        <v/>
      </c>
      <c r="E485" s="27">
        <f>IFERROR((B485-B484)/B484, 0)</f>
        <v/>
      </c>
      <c r="F485" s="21" t="n">
        <v>1738</v>
      </c>
    </row>
    <row r="486">
      <c r="A486" s="12" t="inlineStr">
        <is>
          <t>2010-03</t>
        </is>
      </c>
      <c r="B486" s="14" t="n">
        <v>667172.3</v>
      </c>
      <c r="C486" s="14" t="n">
        <v>264085.35</v>
      </c>
      <c r="D486" s="26">
        <f>IFERROR(C486/B486, 0)</f>
        <v/>
      </c>
      <c r="E486" s="26">
        <f>IFERROR((B486-B485)/B485, 0)</f>
        <v/>
      </c>
      <c r="F486" s="16" t="n">
        <v>1970</v>
      </c>
    </row>
    <row r="487">
      <c r="A487" s="17" t="inlineStr">
        <is>
          <t>2010-04</t>
        </is>
      </c>
      <c r="B487" s="19" t="n">
        <v>594545.79</v>
      </c>
      <c r="C487" s="19" t="n">
        <v>236845.88</v>
      </c>
      <c r="D487" s="27">
        <f>IFERROR(C487/B487, 0)</f>
        <v/>
      </c>
      <c r="E487" s="27">
        <f>IFERROR((B487-B486)/B486, 0)</f>
        <v/>
      </c>
      <c r="F487" s="21" t="n">
        <v>1936</v>
      </c>
    </row>
    <row r="488">
      <c r="A488" s="12" t="inlineStr">
        <is>
          <t>2010-05</t>
        </is>
      </c>
      <c r="B488" s="14" t="n">
        <v>565176.35</v>
      </c>
      <c r="C488" s="14" t="n">
        <v>227986.17</v>
      </c>
      <c r="D488" s="26">
        <f>IFERROR(C488/B488, 0)</f>
        <v/>
      </c>
      <c r="E488" s="26">
        <f>IFERROR((B488-B487)/B487, 0)</f>
        <v/>
      </c>
      <c r="F488" s="16" t="n">
        <v>1828</v>
      </c>
    </row>
    <row r="489">
      <c r="A489" s="17" t="inlineStr">
        <is>
          <t>2010-06</t>
        </is>
      </c>
      <c r="B489" s="19" t="n">
        <v>644654.33</v>
      </c>
      <c r="C489" s="19" t="n">
        <v>243073.16</v>
      </c>
      <c r="D489" s="27">
        <f>IFERROR(C489/B489, 0)</f>
        <v/>
      </c>
      <c r="E489" s="27">
        <f>IFERROR((B489-B488)/B488, 0)</f>
        <v/>
      </c>
      <c r="F489" s="21" t="n">
        <v>1976</v>
      </c>
    </row>
    <row r="490">
      <c r="A490" s="12" t="inlineStr">
        <is>
          <t>2010-07</t>
        </is>
      </c>
      <c r="B490" s="14" t="n">
        <v>578334.03</v>
      </c>
      <c r="C490" s="14" t="n">
        <v>231810.62</v>
      </c>
      <c r="D490" s="26">
        <f>IFERROR(C490/B490, 0)</f>
        <v/>
      </c>
      <c r="E490" s="26">
        <f>IFERROR((B490-B489)/B489, 0)</f>
        <v/>
      </c>
      <c r="F490" s="16" t="n">
        <v>1909</v>
      </c>
    </row>
    <row r="491">
      <c r="A491" s="17" t="inlineStr">
        <is>
          <t>2010-08</t>
        </is>
      </c>
      <c r="B491" s="19" t="n">
        <v>652464.66</v>
      </c>
      <c r="C491" s="19" t="n">
        <v>258883.56</v>
      </c>
      <c r="D491" s="27">
        <f>IFERROR(C491/B491, 0)</f>
        <v/>
      </c>
      <c r="E491" s="27">
        <f>IFERROR((B491-B490)/B490, 0)</f>
        <v/>
      </c>
      <c r="F491" s="21" t="n">
        <v>2094</v>
      </c>
    </row>
    <row r="492">
      <c r="A492" s="12" t="inlineStr">
        <is>
          <t>2010-09</t>
        </is>
      </c>
      <c r="B492" s="14" t="n">
        <v>575729.55</v>
      </c>
      <c r="C492" s="14" t="n">
        <v>224182.14</v>
      </c>
      <c r="D492" s="26">
        <f>IFERROR(C492/B492, 0)</f>
        <v/>
      </c>
      <c r="E492" s="26">
        <f>IFERROR((B492-B491)/B491, 0)</f>
        <v/>
      </c>
      <c r="F492" s="16" t="n">
        <v>1819</v>
      </c>
    </row>
    <row r="493">
      <c r="A493" s="17" t="inlineStr">
        <is>
          <t>2010-10</t>
        </is>
      </c>
      <c r="B493" s="19" t="n">
        <v>566533.76</v>
      </c>
      <c r="C493" s="19" t="n">
        <v>222484.85</v>
      </c>
      <c r="D493" s="27">
        <f>IFERROR(C493/B493, 0)</f>
        <v/>
      </c>
      <c r="E493" s="27">
        <f>IFERROR((B493-B492)/B492, 0)</f>
        <v/>
      </c>
      <c r="F493" s="21" t="n">
        <v>1844</v>
      </c>
    </row>
    <row r="494">
      <c r="A494" s="12" t="inlineStr">
        <is>
          <t>2010-11</t>
        </is>
      </c>
      <c r="B494" s="14" t="n">
        <v>564053.61</v>
      </c>
      <c r="C494" s="14" t="n">
        <v>217232.23</v>
      </c>
      <c r="D494" s="26">
        <f>IFERROR(C494/B494, 0)</f>
        <v/>
      </c>
      <c r="E494" s="26">
        <f>IFERROR((B494-B493)/B493, 0)</f>
        <v/>
      </c>
      <c r="F494" s="16" t="n">
        <v>1757</v>
      </c>
    </row>
    <row r="495">
      <c r="A495" s="17" t="inlineStr">
        <is>
          <t>2010-12</t>
        </is>
      </c>
      <c r="B495" s="19" t="n">
        <v>622765.67</v>
      </c>
      <c r="C495" s="19" t="n">
        <v>244920.04</v>
      </c>
      <c r="D495" s="27">
        <f>IFERROR(C495/B495, 0)</f>
        <v/>
      </c>
      <c r="E495" s="27">
        <f>IFERROR((B495-B494)/B494, 0)</f>
        <v/>
      </c>
      <c r="F495" s="21" t="n">
        <v>2020</v>
      </c>
    </row>
    <row r="496">
      <c r="A496" s="12" t="inlineStr">
        <is>
          <t>2011-01</t>
        </is>
      </c>
      <c r="B496" s="14" t="n">
        <v>574794.45</v>
      </c>
      <c r="C496" s="14" t="n">
        <v>229346.63</v>
      </c>
      <c r="D496" s="26">
        <f>IFERROR(C496/B496, 0)</f>
        <v/>
      </c>
      <c r="E496" s="26">
        <f>IFERROR((B496-B495)/B495, 0)</f>
        <v/>
      </c>
      <c r="F496" s="16" t="n">
        <v>1956</v>
      </c>
    </row>
    <row r="497">
      <c r="A497" s="17" t="inlineStr">
        <is>
          <t>2011-02</t>
        </is>
      </c>
      <c r="B497" s="19" t="n">
        <v>497894.23</v>
      </c>
      <c r="C497" s="19" t="n">
        <v>200462</v>
      </c>
      <c r="D497" s="27">
        <f>IFERROR(C497/B497, 0)</f>
        <v/>
      </c>
      <c r="E497" s="27">
        <f>IFERROR((B497-B496)/B496, 0)</f>
        <v/>
      </c>
      <c r="F497" s="21" t="n">
        <v>1628</v>
      </c>
    </row>
    <row r="498">
      <c r="A498" s="12" t="inlineStr">
        <is>
          <t>2011-03</t>
        </is>
      </c>
      <c r="B498" s="14" t="n">
        <v>541087.16</v>
      </c>
      <c r="C498" s="14" t="n">
        <v>210553.65</v>
      </c>
      <c r="D498" s="26">
        <f>IFERROR(C498/B498, 0)</f>
        <v/>
      </c>
      <c r="E498" s="26">
        <f>IFERROR((B498-B497)/B497, 0)</f>
        <v/>
      </c>
      <c r="F498" s="16" t="n">
        <v>1770</v>
      </c>
    </row>
    <row r="499">
      <c r="A499" s="17" t="inlineStr">
        <is>
          <t>2011-04</t>
        </is>
      </c>
      <c r="B499" s="19" t="n">
        <v>674001.3100000001</v>
      </c>
      <c r="C499" s="19" t="n">
        <v>263358.06</v>
      </c>
      <c r="D499" s="27">
        <f>IFERROR(C499/B499, 0)</f>
        <v/>
      </c>
      <c r="E499" s="27">
        <f>IFERROR((B499-B498)/B498, 0)</f>
        <v/>
      </c>
      <c r="F499" s="21" t="n">
        <v>2193</v>
      </c>
    </row>
    <row r="500">
      <c r="A500" s="12" t="inlineStr">
        <is>
          <t>2011-05</t>
        </is>
      </c>
      <c r="B500" s="14" t="n">
        <v>598041.0699999999</v>
      </c>
      <c r="C500" s="14" t="n">
        <v>242296.15</v>
      </c>
      <c r="D500" s="26">
        <f>IFERROR(C500/B500, 0)</f>
        <v/>
      </c>
      <c r="E500" s="26">
        <f>IFERROR((B500-B499)/B499, 0)</f>
        <v/>
      </c>
      <c r="F500" s="16" t="n">
        <v>1956</v>
      </c>
    </row>
    <row r="501">
      <c r="A501" s="17" t="inlineStr">
        <is>
          <t>2011-06</t>
        </is>
      </c>
      <c r="B501" s="19" t="n">
        <v>507209.77</v>
      </c>
      <c r="C501" s="19" t="n">
        <v>200810.85</v>
      </c>
      <c r="D501" s="27">
        <f>IFERROR(C501/B501, 0)</f>
        <v/>
      </c>
      <c r="E501" s="27">
        <f>IFERROR((B501-B500)/B500, 0)</f>
        <v/>
      </c>
      <c r="F501" s="21" t="n">
        <v>1626</v>
      </c>
    </row>
    <row r="502">
      <c r="A502" s="12" t="inlineStr">
        <is>
          <t>2011-07</t>
        </is>
      </c>
      <c r="B502" s="14" t="n">
        <v>567471.49</v>
      </c>
      <c r="C502" s="14" t="n">
        <v>225135.24</v>
      </c>
      <c r="D502" s="26">
        <f>IFERROR(C502/B502, 0)</f>
        <v/>
      </c>
      <c r="E502" s="26">
        <f>IFERROR((B502-B501)/B501, 0)</f>
        <v/>
      </c>
      <c r="F502" s="16" t="n">
        <v>1876</v>
      </c>
    </row>
    <row r="503">
      <c r="A503" s="17" t="inlineStr">
        <is>
          <t>2011-08</t>
        </is>
      </c>
      <c r="B503" s="19" t="n">
        <v>601341.48</v>
      </c>
      <c r="C503" s="19" t="n">
        <v>239542.67</v>
      </c>
      <c r="D503" s="27">
        <f>IFERROR(C503/B503, 0)</f>
        <v/>
      </c>
      <c r="E503" s="27">
        <f>IFERROR((B503-B502)/B502, 0)</f>
        <v/>
      </c>
      <c r="F503" s="21" t="n">
        <v>1897</v>
      </c>
    </row>
    <row r="504">
      <c r="A504" s="12" t="inlineStr">
        <is>
          <t>2011-09</t>
        </is>
      </c>
      <c r="B504" s="14" t="n">
        <v>606766.89</v>
      </c>
      <c r="C504" s="14" t="n">
        <v>231735.36</v>
      </c>
      <c r="D504" s="26">
        <f>IFERROR(C504/B504, 0)</f>
        <v/>
      </c>
      <c r="E504" s="26">
        <f>IFERROR((B504-B503)/B503, 0)</f>
        <v/>
      </c>
      <c r="F504" s="16" t="n">
        <v>1993</v>
      </c>
    </row>
    <row r="505">
      <c r="A505" s="17" t="inlineStr">
        <is>
          <t>2011-10</t>
        </is>
      </c>
      <c r="B505" s="19" t="n">
        <v>560682.23</v>
      </c>
      <c r="C505" s="19" t="n">
        <v>226929.35</v>
      </c>
      <c r="D505" s="27">
        <f>IFERROR(C505/B505, 0)</f>
        <v/>
      </c>
      <c r="E505" s="27">
        <f>IFERROR((B505-B504)/B504, 0)</f>
        <v/>
      </c>
      <c r="F505" s="21" t="n">
        <v>1767</v>
      </c>
    </row>
    <row r="506">
      <c r="A506" s="12" t="inlineStr">
        <is>
          <t>2011-11</t>
        </is>
      </c>
      <c r="B506" s="14" t="n">
        <v>640175.28</v>
      </c>
      <c r="C506" s="14" t="n">
        <v>251521.96</v>
      </c>
      <c r="D506" s="26">
        <f>IFERROR(C506/B506, 0)</f>
        <v/>
      </c>
      <c r="E506" s="26">
        <f>IFERROR((B506-B505)/B505, 0)</f>
        <v/>
      </c>
      <c r="F506" s="16" t="n">
        <v>2079</v>
      </c>
    </row>
    <row r="507">
      <c r="A507" s="17" t="inlineStr">
        <is>
          <t>2011-12</t>
        </is>
      </c>
      <c r="B507" s="19" t="n">
        <v>618038.65</v>
      </c>
      <c r="C507" s="19" t="n">
        <v>238443.79</v>
      </c>
      <c r="D507" s="27">
        <f>IFERROR(C507/B507, 0)</f>
        <v/>
      </c>
      <c r="E507" s="27">
        <f>IFERROR((B507-B506)/B506, 0)</f>
        <v/>
      </c>
      <c r="F507" s="21" t="n">
        <v>1884</v>
      </c>
    </row>
    <row r="508">
      <c r="A508" s="12" t="inlineStr">
        <is>
          <t>2012-01</t>
        </is>
      </c>
      <c r="B508" s="14" t="n">
        <v>617614</v>
      </c>
      <c r="C508" s="14" t="n">
        <v>244404.93</v>
      </c>
      <c r="D508" s="26">
        <f>IFERROR(C508/B508, 0)</f>
        <v/>
      </c>
      <c r="E508" s="26">
        <f>IFERROR((B508-B507)/B507, 0)</f>
        <v/>
      </c>
      <c r="F508" s="16" t="n">
        <v>1898</v>
      </c>
    </row>
    <row r="509">
      <c r="A509" s="17" t="inlineStr">
        <is>
          <t>2012-02</t>
        </is>
      </c>
      <c r="B509" s="19" t="n">
        <v>523461.94</v>
      </c>
      <c r="C509" s="19" t="n">
        <v>207866.15</v>
      </c>
      <c r="D509" s="27">
        <f>IFERROR(C509/B509, 0)</f>
        <v/>
      </c>
      <c r="E509" s="27">
        <f>IFERROR((B509-B508)/B508, 0)</f>
        <v/>
      </c>
      <c r="F509" s="21" t="n">
        <v>1659</v>
      </c>
    </row>
    <row r="510">
      <c r="A510" s="12" t="inlineStr">
        <is>
          <t>2012-03</t>
        </is>
      </c>
      <c r="B510" s="14" t="n">
        <v>617994.2</v>
      </c>
      <c r="C510" s="14" t="n">
        <v>245378.58</v>
      </c>
      <c r="D510" s="26">
        <f>IFERROR(C510/B510, 0)</f>
        <v/>
      </c>
      <c r="E510" s="26">
        <f>IFERROR((B510-B509)/B509, 0)</f>
        <v/>
      </c>
      <c r="F510" s="16" t="n">
        <v>1910</v>
      </c>
    </row>
    <row r="511">
      <c r="A511" s="17" t="inlineStr">
        <is>
          <t>2012-04</t>
        </is>
      </c>
      <c r="B511" s="19" t="n">
        <v>628832.0600000001</v>
      </c>
      <c r="C511" s="19" t="n">
        <v>241917.93</v>
      </c>
      <c r="D511" s="27">
        <f>IFERROR(C511/B511, 0)</f>
        <v/>
      </c>
      <c r="E511" s="27">
        <f>IFERROR((B511-B510)/B510, 0)</f>
        <v/>
      </c>
      <c r="F511" s="21" t="n">
        <v>1879</v>
      </c>
    </row>
    <row r="512">
      <c r="A512" s="12" t="inlineStr">
        <is>
          <t>2012-05</t>
        </is>
      </c>
      <c r="B512" s="14" t="n">
        <v>610940.25</v>
      </c>
      <c r="C512" s="14" t="n">
        <v>248751.12</v>
      </c>
      <c r="D512" s="26">
        <f>IFERROR(C512/B512, 0)</f>
        <v/>
      </c>
      <c r="E512" s="26">
        <f>IFERROR((B512-B511)/B511, 0)</f>
        <v/>
      </c>
      <c r="F512" s="16" t="n">
        <v>2065</v>
      </c>
    </row>
    <row r="513">
      <c r="A513" s="17" t="inlineStr">
        <is>
          <t>2012-06</t>
        </is>
      </c>
      <c r="B513" s="19" t="n">
        <v>663812.0600000001</v>
      </c>
      <c r="C513" s="19" t="n">
        <v>270280.9</v>
      </c>
      <c r="D513" s="27">
        <f>IFERROR(C513/B513, 0)</f>
        <v/>
      </c>
      <c r="E513" s="27">
        <f>IFERROR((B513-B512)/B512, 0)</f>
        <v/>
      </c>
      <c r="F513" s="21" t="n">
        <v>2108</v>
      </c>
    </row>
    <row r="514">
      <c r="A514" s="12" t="inlineStr">
        <is>
          <t>2012-07</t>
        </is>
      </c>
      <c r="B514" s="14" t="n">
        <v>622705.55</v>
      </c>
      <c r="C514" s="14" t="n">
        <v>253338.11</v>
      </c>
      <c r="D514" s="26">
        <f>IFERROR(C514/B514, 0)</f>
        <v/>
      </c>
      <c r="E514" s="26">
        <f>IFERROR((B514-B513)/B513, 0)</f>
        <v/>
      </c>
      <c r="F514" s="16" t="n">
        <v>1984</v>
      </c>
    </row>
    <row r="515">
      <c r="A515" s="17" t="inlineStr">
        <is>
          <t>2012-08</t>
        </is>
      </c>
      <c r="B515" s="19" t="n">
        <v>589269.4300000001</v>
      </c>
      <c r="C515" s="19" t="n">
        <v>237947.53</v>
      </c>
      <c r="D515" s="27">
        <f>IFERROR(C515/B515, 0)</f>
        <v/>
      </c>
      <c r="E515" s="27">
        <f>IFERROR((B515-B514)/B514, 0)</f>
        <v/>
      </c>
      <c r="F515" s="21" t="n">
        <v>1819</v>
      </c>
    </row>
    <row r="516">
      <c r="A516" s="12" t="inlineStr">
        <is>
          <t>2012-09</t>
        </is>
      </c>
      <c r="B516" s="14" t="n">
        <v>605837.98</v>
      </c>
      <c r="C516" s="14" t="n">
        <v>235582.53</v>
      </c>
      <c r="D516" s="26">
        <f>IFERROR(C516/B516, 0)</f>
        <v/>
      </c>
      <c r="E516" s="26">
        <f>IFERROR((B516-B515)/B515, 0)</f>
        <v/>
      </c>
      <c r="F516" s="16" t="n">
        <v>1909</v>
      </c>
    </row>
    <row r="517">
      <c r="A517" s="17" t="inlineStr">
        <is>
          <t>2012-10</t>
        </is>
      </c>
      <c r="B517" s="19" t="n">
        <v>646650.48</v>
      </c>
      <c r="C517" s="19" t="n">
        <v>244430.92</v>
      </c>
      <c r="D517" s="27">
        <f>IFERROR(C517/B517, 0)</f>
        <v/>
      </c>
      <c r="E517" s="27">
        <f>IFERROR((B517-B516)/B516, 0)</f>
        <v/>
      </c>
      <c r="F517" s="21" t="n">
        <v>1955</v>
      </c>
    </row>
    <row r="518">
      <c r="A518" s="12" t="inlineStr">
        <is>
          <t>2012-11</t>
        </is>
      </c>
      <c r="B518" s="14" t="n">
        <v>566830.01</v>
      </c>
      <c r="C518" s="14" t="n">
        <v>220121.28</v>
      </c>
      <c r="D518" s="26">
        <f>IFERROR(C518/B518, 0)</f>
        <v/>
      </c>
      <c r="E518" s="26">
        <f>IFERROR((B518-B517)/B517, 0)</f>
        <v/>
      </c>
      <c r="F518" s="16" t="n">
        <v>1716</v>
      </c>
    </row>
    <row r="519">
      <c r="A519" s="17" t="inlineStr">
        <is>
          <t>2012-12</t>
        </is>
      </c>
      <c r="B519" s="19" t="n">
        <v>615113.54</v>
      </c>
      <c r="C519" s="19" t="n">
        <v>238046.82</v>
      </c>
      <c r="D519" s="27">
        <f>IFERROR(C519/B519, 0)</f>
        <v/>
      </c>
      <c r="E519" s="27">
        <f>IFERROR((B519-B518)/B518, 0)</f>
        <v/>
      </c>
      <c r="F519" s="21" t="n">
        <v>1985</v>
      </c>
    </row>
    <row r="520">
      <c r="A520" s="12" t="inlineStr">
        <is>
          <t>2013-01</t>
        </is>
      </c>
      <c r="B520" s="14" t="n">
        <v>576521.4</v>
      </c>
      <c r="C520" s="14" t="n">
        <v>225439.34</v>
      </c>
      <c r="D520" s="26">
        <f>IFERROR(C520/B520, 0)</f>
        <v/>
      </c>
      <c r="E520" s="26">
        <f>IFERROR((B520-B519)/B519, 0)</f>
        <v/>
      </c>
      <c r="F520" s="16" t="n">
        <v>1861</v>
      </c>
    </row>
    <row r="521">
      <c r="A521" s="17" t="inlineStr">
        <is>
          <t>2013-02</t>
        </is>
      </c>
      <c r="B521" s="19" t="n">
        <v>510477.35</v>
      </c>
      <c r="C521" s="19" t="n">
        <v>201883.91</v>
      </c>
      <c r="D521" s="27">
        <f>IFERROR(C521/B521, 0)</f>
        <v/>
      </c>
      <c r="E521" s="27">
        <f>IFERROR((B521-B520)/B520, 0)</f>
        <v/>
      </c>
      <c r="F521" s="21" t="n">
        <v>1655</v>
      </c>
    </row>
    <row r="522">
      <c r="A522" s="12" t="inlineStr">
        <is>
          <t>2013-03</t>
        </is>
      </c>
      <c r="B522" s="14" t="n">
        <v>718313.36</v>
      </c>
      <c r="C522" s="14" t="n">
        <v>280548.84</v>
      </c>
      <c r="D522" s="26">
        <f>IFERROR(C522/B522, 0)</f>
        <v/>
      </c>
      <c r="E522" s="26">
        <f>IFERROR((B522-B521)/B521, 0)</f>
        <v/>
      </c>
      <c r="F522" s="16" t="n">
        <v>2214</v>
      </c>
    </row>
    <row r="523">
      <c r="A523" s="17" t="inlineStr">
        <is>
          <t>2013-04</t>
        </is>
      </c>
      <c r="B523" s="19" t="n">
        <v>605670.09</v>
      </c>
      <c r="C523" s="19" t="n">
        <v>238397.17</v>
      </c>
      <c r="D523" s="27">
        <f>IFERROR(C523/B523, 0)</f>
        <v/>
      </c>
      <c r="E523" s="27">
        <f>IFERROR((B523-B522)/B522, 0)</f>
        <v/>
      </c>
      <c r="F523" s="21" t="n">
        <v>1950</v>
      </c>
    </row>
    <row r="524">
      <c r="A524" s="12" t="inlineStr">
        <is>
          <t>2013-05</t>
        </is>
      </c>
      <c r="B524" s="14" t="n">
        <v>564031.09</v>
      </c>
      <c r="C524" s="14" t="n">
        <v>223851.8</v>
      </c>
      <c r="D524" s="26">
        <f>IFERROR(C524/B524, 0)</f>
        <v/>
      </c>
      <c r="E524" s="26">
        <f>IFERROR((B524-B523)/B523, 0)</f>
        <v/>
      </c>
      <c r="F524" s="16" t="n">
        <v>1857</v>
      </c>
    </row>
    <row r="525">
      <c r="A525" s="17" t="inlineStr">
        <is>
          <t>2013-06</t>
        </is>
      </c>
      <c r="B525" s="19" t="n">
        <v>654472.34</v>
      </c>
      <c r="C525" s="19" t="n">
        <v>250441.89</v>
      </c>
      <c r="D525" s="27">
        <f>IFERROR(C525/B525, 0)</f>
        <v/>
      </c>
      <c r="E525" s="27">
        <f>IFERROR((B525-B524)/B524, 0)</f>
        <v/>
      </c>
      <c r="F525" s="21" t="n">
        <v>2066</v>
      </c>
    </row>
    <row r="526">
      <c r="A526" s="12" t="inlineStr">
        <is>
          <t>2013-07</t>
        </is>
      </c>
      <c r="B526" s="14" t="n">
        <v>691216.12</v>
      </c>
      <c r="C526" s="14" t="n">
        <v>268777.91</v>
      </c>
      <c r="D526" s="26">
        <f>IFERROR(C526/B526, 0)</f>
        <v/>
      </c>
      <c r="E526" s="26">
        <f>IFERROR((B526-B525)/B525, 0)</f>
        <v/>
      </c>
      <c r="F526" s="16" t="n">
        <v>2027</v>
      </c>
    </row>
    <row r="527">
      <c r="A527" s="17" t="inlineStr">
        <is>
          <t>2013-08</t>
        </is>
      </c>
      <c r="B527" s="19" t="n">
        <v>614223.4300000001</v>
      </c>
      <c r="C527" s="19" t="n">
        <v>250041.51</v>
      </c>
      <c r="D527" s="27">
        <f>IFERROR(C527/B527, 0)</f>
        <v/>
      </c>
      <c r="E527" s="27">
        <f>IFERROR((B527-B526)/B526, 0)</f>
        <v/>
      </c>
      <c r="F527" s="21" t="n">
        <v>1999</v>
      </c>
    </row>
    <row r="528">
      <c r="A528" s="12" t="inlineStr">
        <is>
          <t>2013-09</t>
        </is>
      </c>
      <c r="B528" s="14" t="n">
        <v>645287.96</v>
      </c>
      <c r="C528" s="14" t="n">
        <v>255305.95</v>
      </c>
      <c r="D528" s="26">
        <f>IFERROR(C528/B528, 0)</f>
        <v/>
      </c>
      <c r="E528" s="26">
        <f>IFERROR((B528-B527)/B527, 0)</f>
        <v/>
      </c>
      <c r="F528" s="16" t="n">
        <v>1953</v>
      </c>
    </row>
    <row r="529">
      <c r="A529" s="17" t="inlineStr">
        <is>
          <t>2013-10</t>
        </is>
      </c>
      <c r="B529" s="19" t="n">
        <v>674345.72</v>
      </c>
      <c r="C529" s="19" t="n">
        <v>272962.69</v>
      </c>
      <c r="D529" s="27">
        <f>IFERROR(C529/B529, 0)</f>
        <v/>
      </c>
      <c r="E529" s="27">
        <f>IFERROR((B529-B528)/B528, 0)</f>
        <v/>
      </c>
      <c r="F529" s="21" t="n">
        <v>2140</v>
      </c>
    </row>
    <row r="530">
      <c r="A530" s="12" t="inlineStr">
        <is>
          <t>2013-11</t>
        </is>
      </c>
      <c r="B530" s="14" t="n">
        <v>595265.4399999999</v>
      </c>
      <c r="C530" s="14" t="n">
        <v>238479.08</v>
      </c>
      <c r="D530" s="26">
        <f>IFERROR(C530/B530, 0)</f>
        <v/>
      </c>
      <c r="E530" s="26">
        <f>IFERROR((B530-B529)/B529, 0)</f>
        <v/>
      </c>
      <c r="F530" s="16" t="n">
        <v>1907</v>
      </c>
    </row>
    <row r="531">
      <c r="A531" s="17" t="inlineStr">
        <is>
          <t>2013-12</t>
        </is>
      </c>
      <c r="B531" s="19" t="n">
        <v>588791.51</v>
      </c>
      <c r="C531" s="19" t="n">
        <v>229927.13</v>
      </c>
      <c r="D531" s="27">
        <f>IFERROR(C531/B531, 0)</f>
        <v/>
      </c>
      <c r="E531" s="27">
        <f>IFERROR((B531-B530)/B530, 0)</f>
        <v/>
      </c>
      <c r="F531" s="21" t="n">
        <v>1858</v>
      </c>
    </row>
    <row r="532">
      <c r="A532" s="12" t="inlineStr">
        <is>
          <t>2014-01</t>
        </is>
      </c>
      <c r="B532" s="14" t="n">
        <v>704372.49</v>
      </c>
      <c r="C532" s="14" t="n">
        <v>273188.85</v>
      </c>
      <c r="D532" s="26">
        <f>IFERROR(C532/B532, 0)</f>
        <v/>
      </c>
      <c r="E532" s="26">
        <f>IFERROR((B532-B531)/B531, 0)</f>
        <v/>
      </c>
      <c r="F532" s="16" t="n">
        <v>2137</v>
      </c>
    </row>
    <row r="533">
      <c r="A533" s="17" t="inlineStr">
        <is>
          <t>2014-02</t>
        </is>
      </c>
      <c r="B533" s="19" t="n">
        <v>582240.3100000001</v>
      </c>
      <c r="C533" s="19" t="n">
        <v>230807.86</v>
      </c>
      <c r="D533" s="27">
        <f>IFERROR(C533/B533, 0)</f>
        <v/>
      </c>
      <c r="E533" s="27">
        <f>IFERROR((B533-B532)/B532, 0)</f>
        <v/>
      </c>
      <c r="F533" s="21" t="n">
        <v>1812</v>
      </c>
    </row>
    <row r="534">
      <c r="A534" s="12" t="inlineStr">
        <is>
          <t>2014-03</t>
        </is>
      </c>
      <c r="B534" s="14" t="n">
        <v>665705.38</v>
      </c>
      <c r="C534" s="14" t="n">
        <v>259113.88</v>
      </c>
      <c r="D534" s="26">
        <f>IFERROR(C534/B534, 0)</f>
        <v/>
      </c>
      <c r="E534" s="26">
        <f>IFERROR((B534-B533)/B533, 0)</f>
        <v/>
      </c>
      <c r="F534" s="16" t="n">
        <v>2062</v>
      </c>
    </row>
    <row r="535">
      <c r="A535" s="17" t="inlineStr">
        <is>
          <t>2014-04</t>
        </is>
      </c>
      <c r="B535" s="19" t="n">
        <v>602434.21</v>
      </c>
      <c r="C535" s="19" t="n">
        <v>239257.81</v>
      </c>
      <c r="D535" s="27">
        <f>IFERROR(C535/B535, 0)</f>
        <v/>
      </c>
      <c r="E535" s="27">
        <f>IFERROR((B535-B534)/B534, 0)</f>
        <v/>
      </c>
      <c r="F535" s="21" t="n">
        <v>1855</v>
      </c>
    </row>
    <row r="536">
      <c r="A536" s="12" t="inlineStr">
        <is>
          <t>2014-05</t>
        </is>
      </c>
      <c r="B536" s="14" t="n">
        <v>635624.99</v>
      </c>
      <c r="C536" s="14" t="n">
        <v>244550.09</v>
      </c>
      <c r="D536" s="26">
        <f>IFERROR(C536/B536, 0)</f>
        <v/>
      </c>
      <c r="E536" s="26">
        <f>IFERROR((B536-B535)/B535, 0)</f>
        <v/>
      </c>
      <c r="F536" s="16" t="n">
        <v>1977</v>
      </c>
    </row>
    <row r="537">
      <c r="A537" s="17" t="inlineStr">
        <is>
          <t>2014-06</t>
        </is>
      </c>
      <c r="B537" s="19" t="n">
        <v>602011.0699999999</v>
      </c>
      <c r="C537" s="19" t="n">
        <v>243199.75</v>
      </c>
      <c r="D537" s="27">
        <f>IFERROR(C537/B537, 0)</f>
        <v/>
      </c>
      <c r="E537" s="27">
        <f>IFERROR((B537-B536)/B536, 0)</f>
        <v/>
      </c>
      <c r="F537" s="21" t="n">
        <v>1964</v>
      </c>
    </row>
    <row r="538">
      <c r="A538" s="12" t="inlineStr">
        <is>
          <t>2014-07</t>
        </is>
      </c>
      <c r="B538" s="14" t="n">
        <v>670025.37</v>
      </c>
      <c r="C538" s="14" t="n">
        <v>265261.96</v>
      </c>
      <c r="D538" s="26">
        <f>IFERROR(C538/B538, 0)</f>
        <v/>
      </c>
      <c r="E538" s="26">
        <f>IFERROR((B538-B537)/B537, 0)</f>
        <v/>
      </c>
      <c r="F538" s="16" t="n">
        <v>2025</v>
      </c>
    </row>
    <row r="539">
      <c r="A539" s="17" t="inlineStr">
        <is>
          <t>2014-08</t>
        </is>
      </c>
      <c r="B539" s="19" t="n">
        <v>642026.85</v>
      </c>
      <c r="C539" s="19" t="n">
        <v>255742.36</v>
      </c>
      <c r="D539" s="27">
        <f>IFERROR(C539/B539, 0)</f>
        <v/>
      </c>
      <c r="E539" s="27">
        <f>IFERROR((B539-B538)/B538, 0)</f>
        <v/>
      </c>
      <c r="F539" s="21" t="n">
        <v>2086</v>
      </c>
    </row>
    <row r="540">
      <c r="A540" s="12" t="inlineStr">
        <is>
          <t>2014-09</t>
        </is>
      </c>
      <c r="B540" s="14" t="n">
        <v>606702.04</v>
      </c>
      <c r="C540" s="14" t="n">
        <v>240359.44</v>
      </c>
      <c r="D540" s="26">
        <f>IFERROR(C540/B540, 0)</f>
        <v/>
      </c>
      <c r="E540" s="26">
        <f>IFERROR((B540-B539)/B539, 0)</f>
        <v/>
      </c>
      <c r="F540" s="16" t="n">
        <v>1839</v>
      </c>
    </row>
    <row r="541">
      <c r="A541" s="17" t="inlineStr">
        <is>
          <t>2014-10</t>
        </is>
      </c>
      <c r="B541" s="19" t="n">
        <v>553003.87</v>
      </c>
      <c r="C541" s="19" t="n">
        <v>213456.03</v>
      </c>
      <c r="D541" s="27">
        <f>IFERROR(C541/B541, 0)</f>
        <v/>
      </c>
      <c r="E541" s="27">
        <f>IFERROR((B541-B540)/B540, 0)</f>
        <v/>
      </c>
      <c r="F541" s="21" t="n">
        <v>1713</v>
      </c>
    </row>
    <row r="542">
      <c r="A542" s="12" t="inlineStr">
        <is>
          <t>2014-11</t>
        </is>
      </c>
      <c r="B542" s="14" t="n">
        <v>595139.6899999999</v>
      </c>
      <c r="C542" s="14" t="n">
        <v>232780.79</v>
      </c>
      <c r="D542" s="26">
        <f>IFERROR(C542/B542, 0)</f>
        <v/>
      </c>
      <c r="E542" s="26">
        <f>IFERROR((B542-B541)/B541, 0)</f>
        <v/>
      </c>
      <c r="F542" s="16" t="n">
        <v>1899</v>
      </c>
    </row>
    <row r="543">
      <c r="A543" s="17" t="inlineStr">
        <is>
          <t>2014-12</t>
        </is>
      </c>
      <c r="B543" s="19" t="n">
        <v>623198.01</v>
      </c>
      <c r="C543" s="19" t="n">
        <v>248544.54</v>
      </c>
      <c r="D543" s="27">
        <f>IFERROR(C543/B543, 0)</f>
        <v/>
      </c>
      <c r="E543" s="27">
        <f>IFERROR((B543-B542)/B542, 0)</f>
        <v/>
      </c>
      <c r="F543" s="21" t="n">
        <v>2024</v>
      </c>
    </row>
    <row r="544">
      <c r="A544" s="12" t="inlineStr">
        <is>
          <t>2015-01</t>
        </is>
      </c>
      <c r="B544" s="14" t="n">
        <v>603869.39</v>
      </c>
      <c r="C544" s="14" t="n">
        <v>234565.62</v>
      </c>
      <c r="D544" s="26">
        <f>IFERROR(C544/B544, 0)</f>
        <v/>
      </c>
      <c r="E544" s="26">
        <f>IFERROR((B544-B543)/B543, 0)</f>
        <v/>
      </c>
      <c r="F544" s="16" t="n">
        <v>1866</v>
      </c>
    </row>
    <row r="545">
      <c r="A545" s="17" t="inlineStr">
        <is>
          <t>2015-02</t>
        </is>
      </c>
      <c r="B545" s="19" t="n">
        <v>565671.85</v>
      </c>
      <c r="C545" s="19" t="n">
        <v>224566.88</v>
      </c>
      <c r="D545" s="27">
        <f>IFERROR(C545/B545, 0)</f>
        <v/>
      </c>
      <c r="E545" s="27">
        <f>IFERROR((B545-B544)/B544, 0)</f>
        <v/>
      </c>
      <c r="F545" s="21" t="n">
        <v>1805</v>
      </c>
    </row>
    <row r="546">
      <c r="A546" s="12" t="inlineStr">
        <is>
          <t>2015-03</t>
        </is>
      </c>
      <c r="B546" s="14" t="n">
        <v>629670.49</v>
      </c>
      <c r="C546" s="14" t="n">
        <v>240555.81</v>
      </c>
      <c r="D546" s="26">
        <f>IFERROR(C546/B546, 0)</f>
        <v/>
      </c>
      <c r="E546" s="26">
        <f>IFERROR((B546-B545)/B545, 0)</f>
        <v/>
      </c>
      <c r="F546" s="16" t="n">
        <v>1980</v>
      </c>
    </row>
    <row r="547">
      <c r="A547" s="17" t="inlineStr">
        <is>
          <t>2015-04</t>
        </is>
      </c>
      <c r="B547" s="19" t="n">
        <v>586118.16</v>
      </c>
      <c r="C547" s="19" t="n">
        <v>232607.58</v>
      </c>
      <c r="D547" s="27">
        <f>IFERROR(C547/B547, 0)</f>
        <v/>
      </c>
      <c r="E547" s="27">
        <f>IFERROR((B547-B546)/B546, 0)</f>
        <v/>
      </c>
      <c r="F547" s="21" t="n">
        <v>1880</v>
      </c>
    </row>
    <row r="548">
      <c r="A548" s="12" t="inlineStr">
        <is>
          <t>2015-05</t>
        </is>
      </c>
      <c r="B548" s="14" t="n">
        <v>597908.76</v>
      </c>
      <c r="C548" s="14" t="n">
        <v>239576.07</v>
      </c>
      <c r="D548" s="26">
        <f>IFERROR(C548/B548, 0)</f>
        <v/>
      </c>
      <c r="E548" s="26">
        <f>IFERROR((B548-B547)/B547, 0)</f>
        <v/>
      </c>
      <c r="F548" s="16" t="n">
        <v>1881</v>
      </c>
    </row>
    <row r="549">
      <c r="A549" s="17" t="inlineStr">
        <is>
          <t>2015-06</t>
        </is>
      </c>
      <c r="B549" s="19" t="n">
        <v>594999.8100000001</v>
      </c>
      <c r="C549" s="19" t="n">
        <v>236148.3</v>
      </c>
      <c r="D549" s="27">
        <f>IFERROR(C549/B549, 0)</f>
        <v/>
      </c>
      <c r="E549" s="27">
        <f>IFERROR((B549-B548)/B548, 0)</f>
        <v/>
      </c>
      <c r="F549" s="21" t="n">
        <v>1871</v>
      </c>
    </row>
    <row r="550">
      <c r="A550" s="12" t="inlineStr">
        <is>
          <t>2015-07</t>
        </is>
      </c>
      <c r="B550" s="14" t="n">
        <v>615114.03</v>
      </c>
      <c r="C550" s="14" t="n">
        <v>248760.51</v>
      </c>
      <c r="D550" s="26">
        <f>IFERROR(C550/B550, 0)</f>
        <v/>
      </c>
      <c r="E550" s="26">
        <f>IFERROR((B550-B549)/B549, 0)</f>
        <v/>
      </c>
      <c r="F550" s="16" t="n">
        <v>1977</v>
      </c>
    </row>
    <row r="551">
      <c r="A551" s="17" t="inlineStr">
        <is>
          <t>2015-08</t>
        </is>
      </c>
      <c r="B551" s="19" t="n">
        <v>614522.79</v>
      </c>
      <c r="C551" s="19" t="n">
        <v>243036.9</v>
      </c>
      <c r="D551" s="27">
        <f>IFERROR(C551/B551, 0)</f>
        <v/>
      </c>
      <c r="E551" s="27">
        <f>IFERROR((B551-B550)/B550, 0)</f>
        <v/>
      </c>
      <c r="F551" s="21" t="n">
        <v>1869</v>
      </c>
    </row>
    <row r="552">
      <c r="A552" s="12" t="inlineStr">
        <is>
          <t>2015-09</t>
        </is>
      </c>
      <c r="B552" s="14" t="n">
        <v>571291.6800000001</v>
      </c>
      <c r="C552" s="14" t="n">
        <v>225496.19</v>
      </c>
      <c r="D552" s="26">
        <f>IFERROR(C552/B552, 0)</f>
        <v/>
      </c>
      <c r="E552" s="26">
        <f>IFERROR((B552-B551)/B551, 0)</f>
        <v/>
      </c>
      <c r="F552" s="16" t="n">
        <v>1761</v>
      </c>
    </row>
    <row r="553">
      <c r="A553" s="17" t="inlineStr">
        <is>
          <t>2015-10</t>
        </is>
      </c>
      <c r="B553" s="19" t="n">
        <v>637660.9300000001</v>
      </c>
      <c r="C553" s="19" t="n">
        <v>244908.18</v>
      </c>
      <c r="D553" s="27">
        <f>IFERROR(C553/B553, 0)</f>
        <v/>
      </c>
      <c r="E553" s="27">
        <f>IFERROR((B553-B552)/B552, 0)</f>
        <v/>
      </c>
      <c r="F553" s="21" t="n">
        <v>1934</v>
      </c>
    </row>
    <row r="554">
      <c r="A554" s="12" t="inlineStr">
        <is>
          <t>2015-11</t>
        </is>
      </c>
      <c r="B554" s="14" t="n">
        <v>647833.1800000001</v>
      </c>
      <c r="C554" s="14" t="n">
        <v>253732.36</v>
      </c>
      <c r="D554" s="26">
        <f>IFERROR(C554/B554, 0)</f>
        <v/>
      </c>
      <c r="E554" s="26">
        <f>IFERROR((B554-B553)/B553, 0)</f>
        <v/>
      </c>
      <c r="F554" s="16" t="n">
        <v>1996</v>
      </c>
    </row>
    <row r="555">
      <c r="A555" s="17" t="inlineStr">
        <is>
          <t>2015-12</t>
        </is>
      </c>
      <c r="B555" s="19" t="n">
        <v>611528.58</v>
      </c>
      <c r="C555" s="19" t="n">
        <v>243591.44</v>
      </c>
      <c r="D555" s="27">
        <f>IFERROR(C555/B555, 0)</f>
        <v/>
      </c>
      <c r="E555" s="27">
        <f>IFERROR((B555-B554)/B554, 0)</f>
        <v/>
      </c>
      <c r="F555" s="21" t="n">
        <v>1923</v>
      </c>
    </row>
    <row r="556">
      <c r="A556" s="12" t="inlineStr">
        <is>
          <t>2016-01</t>
        </is>
      </c>
      <c r="B556" s="14" t="n">
        <v>695264.51</v>
      </c>
      <c r="C556" s="14" t="n">
        <v>272441.6</v>
      </c>
      <c r="D556" s="26">
        <f>IFERROR(C556/B556, 0)</f>
        <v/>
      </c>
      <c r="E556" s="26">
        <f>IFERROR((B556-B555)/B555, 0)</f>
        <v/>
      </c>
      <c r="F556" s="16" t="n">
        <v>2112</v>
      </c>
    </row>
    <row r="557">
      <c r="A557" s="17" t="inlineStr">
        <is>
          <t>2016-02</t>
        </is>
      </c>
      <c r="B557" s="19" t="n">
        <v>603207.35</v>
      </c>
      <c r="C557" s="19" t="n">
        <v>229760.44</v>
      </c>
      <c r="D557" s="27">
        <f>IFERROR(C557/B557, 0)</f>
        <v/>
      </c>
      <c r="E557" s="27">
        <f>IFERROR((B557-B556)/B556, 0)</f>
        <v/>
      </c>
      <c r="F557" s="21" t="n">
        <v>1882</v>
      </c>
    </row>
    <row r="558">
      <c r="A558" s="12" t="inlineStr">
        <is>
          <t>2016-03</t>
        </is>
      </c>
      <c r="B558" s="14" t="n">
        <v>668311.75</v>
      </c>
      <c r="C558" s="14" t="n">
        <v>273093.66</v>
      </c>
      <c r="D558" s="26">
        <f>IFERROR(C558/B558, 0)</f>
        <v/>
      </c>
      <c r="E558" s="26">
        <f>IFERROR((B558-B557)/B557, 0)</f>
        <v/>
      </c>
      <c r="F558" s="16" t="n">
        <v>2160</v>
      </c>
    </row>
    <row r="559">
      <c r="A559" s="17" t="inlineStr">
        <is>
          <t>2016-04</t>
        </is>
      </c>
      <c r="B559" s="19" t="n">
        <v>546098.2</v>
      </c>
      <c r="C559" s="19" t="n">
        <v>213084.56</v>
      </c>
      <c r="D559" s="27">
        <f>IFERROR(C559/B559, 0)</f>
        <v/>
      </c>
      <c r="E559" s="27">
        <f>IFERROR((B559-B558)/B558, 0)</f>
        <v/>
      </c>
      <c r="F559" s="21" t="n">
        <v>1693</v>
      </c>
    </row>
    <row r="560">
      <c r="A560" s="12" t="inlineStr">
        <is>
          <t>2016-05</t>
        </is>
      </c>
      <c r="B560" s="14" t="n">
        <v>590198.23</v>
      </c>
      <c r="C560" s="14" t="n">
        <v>228902.42</v>
      </c>
      <c r="D560" s="26">
        <f>IFERROR(C560/B560, 0)</f>
        <v/>
      </c>
      <c r="E560" s="26">
        <f>IFERROR((B560-B559)/B559, 0)</f>
        <v/>
      </c>
      <c r="F560" s="16" t="n">
        <v>1880</v>
      </c>
    </row>
    <row r="561">
      <c r="A561" s="17" t="inlineStr">
        <is>
          <t>2016-06</t>
        </is>
      </c>
      <c r="B561" s="19" t="n">
        <v>634975.61</v>
      </c>
      <c r="C561" s="19" t="n">
        <v>250392.81</v>
      </c>
      <c r="D561" s="27">
        <f>IFERROR(C561/B561, 0)</f>
        <v/>
      </c>
      <c r="E561" s="27">
        <f>IFERROR((B561-B560)/B560, 0)</f>
        <v/>
      </c>
      <c r="F561" s="21" t="n">
        <v>2022</v>
      </c>
    </row>
    <row r="562">
      <c r="A562" s="12" t="inlineStr">
        <is>
          <t>2016-07</t>
        </is>
      </c>
      <c r="B562" s="14" t="n">
        <v>603336.97</v>
      </c>
      <c r="C562" s="14" t="n">
        <v>238924.54</v>
      </c>
      <c r="D562" s="26">
        <f>IFERROR(C562/B562, 0)</f>
        <v/>
      </c>
      <c r="E562" s="26">
        <f>IFERROR((B562-B561)/B561, 0)</f>
        <v/>
      </c>
      <c r="F562" s="16" t="n">
        <v>1807</v>
      </c>
    </row>
    <row r="563">
      <c r="A563" s="17" t="inlineStr">
        <is>
          <t>2016-08</t>
        </is>
      </c>
      <c r="B563" s="19" t="n">
        <v>631734.98</v>
      </c>
      <c r="C563" s="19" t="n">
        <v>244805.13</v>
      </c>
      <c r="D563" s="27">
        <f>IFERROR(C563/B563, 0)</f>
        <v/>
      </c>
      <c r="E563" s="27">
        <f>IFERROR((B563-B562)/B562, 0)</f>
        <v/>
      </c>
      <c r="F563" s="21" t="n">
        <v>1914</v>
      </c>
    </row>
    <row r="564">
      <c r="A564" s="12" t="inlineStr">
        <is>
          <t>2016-09</t>
        </is>
      </c>
      <c r="B564" s="14" t="n">
        <v>624386.48</v>
      </c>
      <c r="C564" s="14" t="n">
        <v>245944.32</v>
      </c>
      <c r="D564" s="26">
        <f>IFERROR(C564/B564, 0)</f>
        <v/>
      </c>
      <c r="E564" s="26">
        <f>IFERROR((B564-B563)/B563, 0)</f>
        <v/>
      </c>
      <c r="F564" s="16" t="n">
        <v>1976</v>
      </c>
    </row>
    <row r="565">
      <c r="A565" s="17" t="inlineStr">
        <is>
          <t>2016-10</t>
        </is>
      </c>
      <c r="B565" s="19" t="n">
        <v>697305.45</v>
      </c>
      <c r="C565" s="19" t="n">
        <v>270055.83</v>
      </c>
      <c r="D565" s="27">
        <f>IFERROR(C565/B565, 0)</f>
        <v/>
      </c>
      <c r="E565" s="27">
        <f>IFERROR((B565-B564)/B564, 0)</f>
        <v/>
      </c>
      <c r="F565" s="21" t="n">
        <v>2137</v>
      </c>
    </row>
    <row r="566">
      <c r="A566" s="12" t="inlineStr">
        <is>
          <t>2016-11</t>
        </is>
      </c>
      <c r="B566" s="14" t="n">
        <v>654444.15</v>
      </c>
      <c r="C566" s="14" t="n">
        <v>260961.54</v>
      </c>
      <c r="D566" s="26">
        <f>IFERROR(C566/B566, 0)</f>
        <v/>
      </c>
      <c r="E566" s="26">
        <f>IFERROR((B566-B565)/B565, 0)</f>
        <v/>
      </c>
      <c r="F566" s="16" t="n">
        <v>1950</v>
      </c>
    </row>
    <row r="567">
      <c r="A567" s="17" t="inlineStr">
        <is>
          <t>2016-12</t>
        </is>
      </c>
      <c r="B567" s="19" t="n">
        <v>666117.29</v>
      </c>
      <c r="C567" s="19" t="n">
        <v>263353.48</v>
      </c>
      <c r="D567" s="27">
        <f>IFERROR(C567/B567, 0)</f>
        <v/>
      </c>
      <c r="E567" s="27">
        <f>IFERROR((B567-B566)/B566, 0)</f>
        <v/>
      </c>
      <c r="F567" s="21" t="n">
        <v>2094</v>
      </c>
    </row>
    <row r="568">
      <c r="A568" s="12" t="inlineStr">
        <is>
          <t>2017-01</t>
        </is>
      </c>
      <c r="B568" s="14" t="n">
        <v>639474.87</v>
      </c>
      <c r="C568" s="14" t="n">
        <v>252520.28</v>
      </c>
      <c r="D568" s="26">
        <f>IFERROR(C568/B568, 0)</f>
        <v/>
      </c>
      <c r="E568" s="26">
        <f>IFERROR((B568-B567)/B567, 0)</f>
        <v/>
      </c>
      <c r="F568" s="16" t="n">
        <v>1936</v>
      </c>
    </row>
    <row r="569">
      <c r="A569" s="17" t="inlineStr">
        <is>
          <t>2017-02</t>
        </is>
      </c>
      <c r="B569" s="19" t="n">
        <v>451133.51</v>
      </c>
      <c r="C569" s="19" t="n">
        <v>179349.08</v>
      </c>
      <c r="D569" s="27">
        <f>IFERROR(C569/B569, 0)</f>
        <v/>
      </c>
      <c r="E569" s="27">
        <f>IFERROR((B569-B568)/B568, 0)</f>
        <v/>
      </c>
      <c r="F569" s="21" t="n">
        <v>1512</v>
      </c>
    </row>
    <row r="570">
      <c r="A570" s="12" t="inlineStr">
        <is>
          <t>2017-03</t>
        </is>
      </c>
      <c r="B570" s="14" t="n">
        <v>631873.42</v>
      </c>
      <c r="C570" s="14" t="n">
        <v>254806.72</v>
      </c>
      <c r="D570" s="26">
        <f>IFERROR(C570/B570, 0)</f>
        <v/>
      </c>
      <c r="E570" s="26">
        <f>IFERROR((B570-B569)/B569, 0)</f>
        <v/>
      </c>
      <c r="F570" s="16" t="n">
        <v>2075</v>
      </c>
    </row>
    <row r="571">
      <c r="A571" s="17" t="inlineStr">
        <is>
          <t>2017-04</t>
        </is>
      </c>
      <c r="B571" s="19" t="n">
        <v>587030.4399999999</v>
      </c>
      <c r="C571" s="19" t="n">
        <v>233163.71</v>
      </c>
      <c r="D571" s="27">
        <f>IFERROR(C571/B571, 0)</f>
        <v/>
      </c>
      <c r="E571" s="27">
        <f>IFERROR((B571-B570)/B570, 0)</f>
        <v/>
      </c>
      <c r="F571" s="21" t="n">
        <v>1884</v>
      </c>
    </row>
    <row r="572">
      <c r="A572" s="12" t="inlineStr">
        <is>
          <t>2017-05</t>
        </is>
      </c>
      <c r="B572" s="14" t="n">
        <v>564027.97</v>
      </c>
      <c r="C572" s="14" t="n">
        <v>220343.74</v>
      </c>
      <c r="D572" s="26">
        <f>IFERROR(C572/B572, 0)</f>
        <v/>
      </c>
      <c r="E572" s="26">
        <f>IFERROR((B572-B571)/B571, 0)</f>
        <v/>
      </c>
      <c r="F572" s="16" t="n">
        <v>1818</v>
      </c>
    </row>
    <row r="573">
      <c r="A573" s="17" t="inlineStr">
        <is>
          <t>2017-06</t>
        </is>
      </c>
      <c r="B573" s="19" t="n">
        <v>654012.5</v>
      </c>
      <c r="C573" s="19" t="n">
        <v>259242.06</v>
      </c>
      <c r="D573" s="27">
        <f>IFERROR(C573/B573, 0)</f>
        <v/>
      </c>
      <c r="E573" s="27">
        <f>IFERROR((B573-B572)/B572, 0)</f>
        <v/>
      </c>
      <c r="F573" s="21" t="n">
        <v>2037</v>
      </c>
    </row>
    <row r="574">
      <c r="A574" s="12" t="inlineStr">
        <is>
          <t>2017-07</t>
        </is>
      </c>
      <c r="B574" s="14" t="n">
        <v>625112.8199999999</v>
      </c>
      <c r="C574" s="14" t="n">
        <v>246019</v>
      </c>
      <c r="D574" s="26">
        <f>IFERROR(C574/B574, 0)</f>
        <v/>
      </c>
      <c r="E574" s="26">
        <f>IFERROR((B574-B573)/B573, 0)</f>
        <v/>
      </c>
      <c r="F574" s="16" t="n">
        <v>1857</v>
      </c>
    </row>
    <row r="575">
      <c r="A575" s="17" t="inlineStr">
        <is>
          <t>2017-08</t>
        </is>
      </c>
      <c r="B575" s="19" t="n">
        <v>582448.12</v>
      </c>
      <c r="C575" s="19" t="n">
        <v>234092.4</v>
      </c>
      <c r="D575" s="27">
        <f>IFERROR(C575/B575, 0)</f>
        <v/>
      </c>
      <c r="E575" s="27">
        <f>IFERROR((B575-B574)/B574, 0)</f>
        <v/>
      </c>
      <c r="F575" s="21" t="n">
        <v>1789</v>
      </c>
    </row>
    <row r="576">
      <c r="A576" s="12" t="inlineStr">
        <is>
          <t>2017-09</t>
        </is>
      </c>
      <c r="B576" s="14" t="n">
        <v>577659.96</v>
      </c>
      <c r="C576" s="14" t="n">
        <v>229251.68</v>
      </c>
      <c r="D576" s="26">
        <f>IFERROR(C576/B576, 0)</f>
        <v/>
      </c>
      <c r="E576" s="26">
        <f>IFERROR((B576-B575)/B575, 0)</f>
        <v/>
      </c>
      <c r="F576" s="16" t="n">
        <v>1838</v>
      </c>
    </row>
    <row r="577">
      <c r="A577" s="17" t="inlineStr">
        <is>
          <t>2017-10</t>
        </is>
      </c>
      <c r="B577" s="19" t="n">
        <v>625842.52</v>
      </c>
      <c r="C577" s="19" t="n">
        <v>240872.1</v>
      </c>
      <c r="D577" s="27">
        <f>IFERROR(C577/B577, 0)</f>
        <v/>
      </c>
      <c r="E577" s="27">
        <f>IFERROR((B577-B576)/B576, 0)</f>
        <v/>
      </c>
      <c r="F577" s="21" t="n">
        <v>1894</v>
      </c>
    </row>
    <row r="578">
      <c r="A578" s="12" t="inlineStr">
        <is>
          <t>2017-11</t>
        </is>
      </c>
      <c r="B578" s="14" t="n">
        <v>571860.1</v>
      </c>
      <c r="C578" s="14" t="n">
        <v>224793.98</v>
      </c>
      <c r="D578" s="26">
        <f>IFERROR(C578/B578, 0)</f>
        <v/>
      </c>
      <c r="E578" s="26">
        <f>IFERROR((B578-B577)/B577, 0)</f>
        <v/>
      </c>
      <c r="F578" s="16" t="n">
        <v>1787</v>
      </c>
    </row>
    <row r="579">
      <c r="A579" s="17" t="inlineStr">
        <is>
          <t>2017-12</t>
        </is>
      </c>
      <c r="B579" s="19" t="n">
        <v>663601.97</v>
      </c>
      <c r="C579" s="19" t="n">
        <v>255213.35</v>
      </c>
      <c r="D579" s="27">
        <f>IFERROR(C579/B579, 0)</f>
        <v/>
      </c>
      <c r="E579" s="27">
        <f>IFERROR((B579-B578)/B578, 0)</f>
        <v/>
      </c>
      <c r="F579" s="21" t="n">
        <v>2112</v>
      </c>
    </row>
    <row r="580">
      <c r="A580" s="12" t="inlineStr">
        <is>
          <t>2018-01</t>
        </is>
      </c>
      <c r="B580" s="14" t="n">
        <v>633775.79</v>
      </c>
      <c r="C580" s="14" t="n">
        <v>246795.98</v>
      </c>
      <c r="D580" s="26">
        <f>IFERROR(C580/B580, 0)</f>
        <v/>
      </c>
      <c r="E580" s="26">
        <f>IFERROR((B580-B579)/B579, 0)</f>
        <v/>
      </c>
      <c r="F580" s="16" t="n">
        <v>2005</v>
      </c>
    </row>
    <row r="581">
      <c r="A581" s="17" t="inlineStr">
        <is>
          <t>2018-02</t>
        </is>
      </c>
      <c r="B581" s="19" t="n">
        <v>612359.52</v>
      </c>
      <c r="C581" s="19" t="n">
        <v>239073.99</v>
      </c>
      <c r="D581" s="27">
        <f>IFERROR(C581/B581, 0)</f>
        <v/>
      </c>
      <c r="E581" s="27">
        <f>IFERROR((B581-B580)/B580, 0)</f>
        <v/>
      </c>
      <c r="F581" s="21" t="n">
        <v>1899</v>
      </c>
    </row>
    <row r="582">
      <c r="A582" s="12" t="inlineStr">
        <is>
          <t>2018-03</t>
        </is>
      </c>
      <c r="B582" s="14" t="n">
        <v>632124.38</v>
      </c>
      <c r="C582" s="14" t="n">
        <v>248686.44</v>
      </c>
      <c r="D582" s="26">
        <f>IFERROR(C582/B582, 0)</f>
        <v/>
      </c>
      <c r="E582" s="26">
        <f>IFERROR((B582-B581)/B581, 0)</f>
        <v/>
      </c>
      <c r="F582" s="16" t="n">
        <v>1978</v>
      </c>
    </row>
    <row r="583">
      <c r="A583" s="17" t="inlineStr">
        <is>
          <t>2018-04</t>
        </is>
      </c>
      <c r="B583" s="19" t="n">
        <v>625331.04</v>
      </c>
      <c r="C583" s="19" t="n">
        <v>244875.7</v>
      </c>
      <c r="D583" s="27">
        <f>IFERROR(C583/B583, 0)</f>
        <v/>
      </c>
      <c r="E583" s="27">
        <f>IFERROR((B583-B582)/B582, 0)</f>
        <v/>
      </c>
      <c r="F583" s="21" t="n">
        <v>1928</v>
      </c>
    </row>
    <row r="584">
      <c r="A584" s="12" t="inlineStr">
        <is>
          <t>2018-05</t>
        </is>
      </c>
      <c r="B584" s="14" t="n">
        <v>649805.88</v>
      </c>
      <c r="C584" s="14" t="n">
        <v>261092.26</v>
      </c>
      <c r="D584" s="26">
        <f>IFERROR(C584/B584, 0)</f>
        <v/>
      </c>
      <c r="E584" s="26">
        <f>IFERROR((B584-B583)/B583, 0)</f>
        <v/>
      </c>
      <c r="F584" s="16" t="n">
        <v>2079</v>
      </c>
    </row>
    <row r="585">
      <c r="A585" s="17" t="inlineStr">
        <is>
          <t>2018-06</t>
        </is>
      </c>
      <c r="B585" s="19" t="n">
        <v>539607.52</v>
      </c>
      <c r="C585" s="19" t="n">
        <v>219592.69</v>
      </c>
      <c r="D585" s="27">
        <f>IFERROR(C585/B585, 0)</f>
        <v/>
      </c>
      <c r="E585" s="27">
        <f>IFERROR((B585-B584)/B584, 0)</f>
        <v/>
      </c>
      <c r="F585" s="21" t="n">
        <v>1808</v>
      </c>
    </row>
    <row r="586">
      <c r="A586" s="12" t="inlineStr">
        <is>
          <t>2018-07</t>
        </is>
      </c>
      <c r="B586" s="14" t="n">
        <v>605146.09</v>
      </c>
      <c r="C586" s="14" t="n">
        <v>245209.82</v>
      </c>
      <c r="D586" s="26">
        <f>IFERROR(C586/B586, 0)</f>
        <v/>
      </c>
      <c r="E586" s="26">
        <f>IFERROR((B586-B585)/B585, 0)</f>
        <v/>
      </c>
      <c r="F586" s="16" t="n">
        <v>1929</v>
      </c>
    </row>
    <row r="587">
      <c r="A587" s="17" t="inlineStr">
        <is>
          <t>2018-08</t>
        </is>
      </c>
      <c r="B587" s="19" t="n">
        <v>632665.1</v>
      </c>
      <c r="C587" s="19" t="n">
        <v>251221.16</v>
      </c>
      <c r="D587" s="27">
        <f>IFERROR(C587/B587, 0)</f>
        <v/>
      </c>
      <c r="E587" s="27">
        <f>IFERROR((B587-B586)/B586, 0)</f>
        <v/>
      </c>
      <c r="F587" s="21" t="n">
        <v>1959</v>
      </c>
    </row>
    <row r="588">
      <c r="A588" s="12" t="inlineStr">
        <is>
          <t>2018-09</t>
        </is>
      </c>
      <c r="B588" s="14" t="n">
        <v>557520.6800000001</v>
      </c>
      <c r="C588" s="14" t="n">
        <v>222057.93</v>
      </c>
      <c r="D588" s="26">
        <f>IFERROR(C588/B588, 0)</f>
        <v/>
      </c>
      <c r="E588" s="26">
        <f>IFERROR((B588-B587)/B587, 0)</f>
        <v/>
      </c>
      <c r="F588" s="16" t="n">
        <v>1798</v>
      </c>
    </row>
    <row r="589">
      <c r="A589" s="17" t="inlineStr">
        <is>
          <t>2018-10</t>
        </is>
      </c>
      <c r="B589" s="19" t="n">
        <v>639742.88</v>
      </c>
      <c r="C589" s="19" t="n">
        <v>250084.01</v>
      </c>
      <c r="D589" s="27">
        <f>IFERROR(C589/B589, 0)</f>
        <v/>
      </c>
      <c r="E589" s="27">
        <f>IFERROR((B589-B588)/B588, 0)</f>
        <v/>
      </c>
      <c r="F589" s="21" t="n">
        <v>2044</v>
      </c>
    </row>
    <row r="590">
      <c r="A590" s="12" t="inlineStr">
        <is>
          <t>2018-11</t>
        </is>
      </c>
      <c r="B590" s="14" t="n">
        <v>569583.74</v>
      </c>
      <c r="C590" s="14" t="n">
        <v>218076.19</v>
      </c>
      <c r="D590" s="26">
        <f>IFERROR(C590/B590, 0)</f>
        <v/>
      </c>
      <c r="E590" s="26">
        <f>IFERROR((B590-B589)/B589, 0)</f>
        <v/>
      </c>
      <c r="F590" s="16" t="n">
        <v>1853</v>
      </c>
    </row>
    <row r="591">
      <c r="A591" s="17" t="inlineStr">
        <is>
          <t>2018-12</t>
        </is>
      </c>
      <c r="B591" s="19" t="n">
        <v>606412.3100000001</v>
      </c>
      <c r="C591" s="19" t="n">
        <v>233458.14</v>
      </c>
      <c r="D591" s="27">
        <f>IFERROR(C591/B591, 0)</f>
        <v/>
      </c>
      <c r="E591" s="27">
        <f>IFERROR((B591-B590)/B590, 0)</f>
        <v/>
      </c>
      <c r="F591" s="21" t="n">
        <v>2020</v>
      </c>
    </row>
    <row r="592">
      <c r="A592" s="12" t="inlineStr">
        <is>
          <t>2019-01</t>
        </is>
      </c>
      <c r="B592" s="14" t="n">
        <v>639007.4399999999</v>
      </c>
      <c r="C592" s="14" t="n">
        <v>250525.71</v>
      </c>
      <c r="D592" s="26">
        <f>IFERROR(C592/B592, 0)</f>
        <v/>
      </c>
      <c r="E592" s="26">
        <f>IFERROR((B592-B591)/B591, 0)</f>
        <v/>
      </c>
      <c r="F592" s="16" t="n">
        <v>2034</v>
      </c>
    </row>
    <row r="593">
      <c r="A593" s="17" t="inlineStr">
        <is>
          <t>2019-02</t>
        </is>
      </c>
      <c r="B593" s="19" t="n">
        <v>575904.72</v>
      </c>
      <c r="C593" s="19" t="n">
        <v>226456.79</v>
      </c>
      <c r="D593" s="27">
        <f>IFERROR(C593/B593, 0)</f>
        <v/>
      </c>
      <c r="E593" s="27">
        <f>IFERROR((B593-B592)/B592, 0)</f>
        <v/>
      </c>
      <c r="F593" s="21" t="n">
        <v>1816</v>
      </c>
    </row>
    <row r="594">
      <c r="A594" s="12" t="inlineStr">
        <is>
          <t>2019-03</t>
        </is>
      </c>
      <c r="B594" s="14" t="n">
        <v>618192.34</v>
      </c>
      <c r="C594" s="14" t="n">
        <v>245139.89</v>
      </c>
      <c r="D594" s="26">
        <f>IFERROR(C594/B594, 0)</f>
        <v/>
      </c>
      <c r="E594" s="26">
        <f>IFERROR((B594-B593)/B593, 0)</f>
        <v/>
      </c>
      <c r="F594" s="16" t="n">
        <v>1900</v>
      </c>
    </row>
    <row r="595">
      <c r="A595" s="17" t="inlineStr">
        <is>
          <t>2019-04</t>
        </is>
      </c>
      <c r="B595" s="19" t="n">
        <v>621305.14</v>
      </c>
      <c r="C595" s="19" t="n">
        <v>246640.08</v>
      </c>
      <c r="D595" s="27">
        <f>IFERROR(C595/B595, 0)</f>
        <v/>
      </c>
      <c r="E595" s="27">
        <f>IFERROR((B595-B594)/B594, 0)</f>
        <v/>
      </c>
      <c r="F595" s="21" t="n">
        <v>1909</v>
      </c>
    </row>
    <row r="596">
      <c r="A596" s="12" t="inlineStr">
        <is>
          <t>2019-05</t>
        </is>
      </c>
      <c r="B596" s="14" t="n">
        <v>611873.25</v>
      </c>
      <c r="C596" s="14" t="n">
        <v>241957.85</v>
      </c>
      <c r="D596" s="26">
        <f>IFERROR(C596/B596, 0)</f>
        <v/>
      </c>
      <c r="E596" s="26">
        <f>IFERROR((B596-B595)/B595, 0)</f>
        <v/>
      </c>
      <c r="F596" s="16" t="n">
        <v>2021</v>
      </c>
    </row>
    <row r="597">
      <c r="A597" s="17" t="inlineStr">
        <is>
          <t>2019-06</t>
        </is>
      </c>
      <c r="B597" s="19" t="n">
        <v>643370.21</v>
      </c>
      <c r="C597" s="19" t="n">
        <v>249366.34</v>
      </c>
      <c r="D597" s="27">
        <f>IFERROR(C597/B597, 0)</f>
        <v/>
      </c>
      <c r="E597" s="27">
        <f>IFERROR((B597-B596)/B596, 0)</f>
        <v/>
      </c>
      <c r="F597" s="21" t="n">
        <v>2019</v>
      </c>
    </row>
    <row r="598">
      <c r="A598" s="12" t="inlineStr">
        <is>
          <t>2019-07</t>
        </is>
      </c>
      <c r="B598" s="14" t="n">
        <v>648739.3100000001</v>
      </c>
      <c r="C598" s="14" t="n">
        <v>252842.07</v>
      </c>
      <c r="D598" s="26">
        <f>IFERROR(C598/B598, 0)</f>
        <v/>
      </c>
      <c r="E598" s="26">
        <f>IFERROR((B598-B597)/B597, 0)</f>
        <v/>
      </c>
      <c r="F598" s="16" t="n">
        <v>2094</v>
      </c>
    </row>
    <row r="599">
      <c r="A599" s="17" t="inlineStr">
        <is>
          <t>2019-08</t>
        </is>
      </c>
      <c r="B599" s="19" t="n">
        <v>682819.78</v>
      </c>
      <c r="C599" s="19" t="n">
        <v>275592.94</v>
      </c>
      <c r="D599" s="27">
        <f>IFERROR(C599/B599, 0)</f>
        <v/>
      </c>
      <c r="E599" s="27">
        <f>IFERROR((B599-B598)/B598, 0)</f>
        <v/>
      </c>
      <c r="F599" s="21" t="n">
        <v>2172</v>
      </c>
    </row>
    <row r="600">
      <c r="A600" s="12" t="inlineStr">
        <is>
          <t>2019-09</t>
        </is>
      </c>
      <c r="B600" s="14" t="n">
        <v>613585.4</v>
      </c>
      <c r="C600" s="14" t="n">
        <v>241901.54</v>
      </c>
      <c r="D600" s="26">
        <f>IFERROR(C600/B600, 0)</f>
        <v/>
      </c>
      <c r="E600" s="26">
        <f>IFERROR((B600-B599)/B599, 0)</f>
        <v/>
      </c>
      <c r="F600" s="16" t="n">
        <v>1959</v>
      </c>
    </row>
    <row r="601">
      <c r="A601" s="17" t="inlineStr">
        <is>
          <t>2019-10</t>
        </is>
      </c>
      <c r="B601" s="19" t="n">
        <v>603607.95</v>
      </c>
      <c r="C601" s="19" t="n">
        <v>236285.71</v>
      </c>
      <c r="D601" s="27">
        <f>IFERROR(C601/B601, 0)</f>
        <v/>
      </c>
      <c r="E601" s="27">
        <f>IFERROR((B601-B600)/B600, 0)</f>
        <v/>
      </c>
      <c r="F601" s="21" t="n">
        <v>1940</v>
      </c>
    </row>
    <row r="602">
      <c r="A602" s="12" t="inlineStr">
        <is>
          <t>2019-11</t>
        </is>
      </c>
      <c r="B602" s="14" t="n">
        <v>588180.22</v>
      </c>
      <c r="C602" s="14" t="n">
        <v>239573.35</v>
      </c>
      <c r="D602" s="26">
        <f>IFERROR(C602/B602, 0)</f>
        <v/>
      </c>
      <c r="E602" s="26">
        <f>IFERROR((B602-B601)/B601, 0)</f>
        <v/>
      </c>
      <c r="F602" s="16" t="n">
        <v>1919</v>
      </c>
    </row>
    <row r="603">
      <c r="A603" s="17" t="inlineStr">
        <is>
          <t>2019-12</t>
        </is>
      </c>
      <c r="B603" s="19" t="n">
        <v>659878.8</v>
      </c>
      <c r="C603" s="19" t="n">
        <v>258577</v>
      </c>
      <c r="D603" s="27">
        <f>IFERROR(C603/B603, 0)</f>
        <v/>
      </c>
      <c r="E603" s="27">
        <f>IFERROR((B603-B602)/B602, 0)</f>
        <v/>
      </c>
      <c r="F603" s="21" t="n">
        <v>2007</v>
      </c>
    </row>
    <row r="604">
      <c r="A604" s="12" t="inlineStr">
        <is>
          <t>2020-01</t>
        </is>
      </c>
      <c r="B604" s="14" t="n">
        <v>679814.79</v>
      </c>
      <c r="C604" s="14" t="n">
        <v>271550.31</v>
      </c>
      <c r="D604" s="26">
        <f>IFERROR(C604/B604, 0)</f>
        <v/>
      </c>
      <c r="E604" s="26">
        <f>IFERROR((B604-B603)/B603, 0)</f>
        <v/>
      </c>
      <c r="F604" s="16" t="n">
        <v>2080</v>
      </c>
    </row>
    <row r="605">
      <c r="A605" s="17" t="inlineStr">
        <is>
          <t>2020-02</t>
        </is>
      </c>
      <c r="B605" s="19" t="n">
        <v>537158.74</v>
      </c>
      <c r="C605" s="19" t="n">
        <v>208945.47</v>
      </c>
      <c r="D605" s="27">
        <f>IFERROR(C605/B605, 0)</f>
        <v/>
      </c>
      <c r="E605" s="27">
        <f>IFERROR((B605-B604)/B604, 0)</f>
        <v/>
      </c>
      <c r="F605" s="21" t="n">
        <v>1666</v>
      </c>
    </row>
    <row r="606">
      <c r="A606" s="12" t="inlineStr">
        <is>
          <t>2020-03</t>
        </is>
      </c>
      <c r="B606" s="14" t="n">
        <v>641615.88</v>
      </c>
      <c r="C606" s="14" t="n">
        <v>254345.81</v>
      </c>
      <c r="D606" s="26">
        <f>IFERROR(C606/B606, 0)</f>
        <v/>
      </c>
      <c r="E606" s="26">
        <f>IFERROR((B606-B605)/B605, 0)</f>
        <v/>
      </c>
      <c r="F606" s="16" t="n">
        <v>2141</v>
      </c>
    </row>
    <row r="607">
      <c r="A607" s="17" t="inlineStr">
        <is>
          <t>2020-04</t>
        </is>
      </c>
      <c r="B607" s="19" t="n">
        <v>643098.6</v>
      </c>
      <c r="C607" s="19" t="n">
        <v>260095.27</v>
      </c>
      <c r="D607" s="27">
        <f>IFERROR(C607/B607, 0)</f>
        <v/>
      </c>
      <c r="E607" s="27">
        <f>IFERROR((B607-B606)/B606, 0)</f>
        <v/>
      </c>
      <c r="F607" s="21" t="n">
        <v>2065</v>
      </c>
    </row>
    <row r="608">
      <c r="A608" s="12" t="inlineStr">
        <is>
          <t>2020-05</t>
        </is>
      </c>
      <c r="B608" s="14" t="n">
        <v>610579.78</v>
      </c>
      <c r="C608" s="14" t="n">
        <v>245460.66</v>
      </c>
      <c r="D608" s="26">
        <f>IFERROR(C608/B608, 0)</f>
        <v/>
      </c>
      <c r="E608" s="26">
        <f>IFERROR((B608-B607)/B607, 0)</f>
        <v/>
      </c>
      <c r="F608" s="16" t="n">
        <v>1948</v>
      </c>
    </row>
    <row r="609">
      <c r="A609" s="17" t="inlineStr">
        <is>
          <t>2020-06</t>
        </is>
      </c>
      <c r="B609" s="19" t="n">
        <v>593373.99</v>
      </c>
      <c r="C609" s="19" t="n">
        <v>236196.47</v>
      </c>
      <c r="D609" s="27">
        <f>IFERROR(C609/B609, 0)</f>
        <v/>
      </c>
      <c r="E609" s="27">
        <f>IFERROR((B609-B608)/B608, 0)</f>
        <v/>
      </c>
      <c r="F609" s="21" t="n">
        <v>1852</v>
      </c>
    </row>
    <row r="610">
      <c r="A610" s="12" t="inlineStr">
        <is>
          <t>2020-07</t>
        </is>
      </c>
      <c r="B610" s="14" t="n">
        <v>633210.3</v>
      </c>
      <c r="C610" s="14" t="n">
        <v>248537.75</v>
      </c>
      <c r="D610" s="26">
        <f>IFERROR(C610/B610, 0)</f>
        <v/>
      </c>
      <c r="E610" s="26">
        <f>IFERROR((B610-B609)/B609, 0)</f>
        <v/>
      </c>
      <c r="F610" s="16" t="n">
        <v>1940</v>
      </c>
    </row>
    <row r="611">
      <c r="A611" s="17" t="inlineStr">
        <is>
          <t>2020-08</t>
        </is>
      </c>
      <c r="B611" s="19" t="n">
        <v>623851.15</v>
      </c>
      <c r="C611" s="19" t="n">
        <v>248054.09</v>
      </c>
      <c r="D611" s="27">
        <f>IFERROR(C611/B611, 0)</f>
        <v/>
      </c>
      <c r="E611" s="27">
        <f>IFERROR((B611-B610)/B610, 0)</f>
        <v/>
      </c>
      <c r="F611" s="21" t="n">
        <v>2038</v>
      </c>
    </row>
    <row r="612">
      <c r="A612" s="12" t="inlineStr">
        <is>
          <t>2020-09</t>
        </is>
      </c>
      <c r="B612" s="14" t="n">
        <v>631904.4</v>
      </c>
      <c r="C612" s="14" t="n">
        <v>244829.59</v>
      </c>
      <c r="D612" s="26">
        <f>IFERROR(C612/B612, 0)</f>
        <v/>
      </c>
      <c r="E612" s="26">
        <f>IFERROR((B612-B611)/B611, 0)</f>
        <v/>
      </c>
      <c r="F612" s="16" t="n">
        <v>1991</v>
      </c>
    </row>
    <row r="613">
      <c r="A613" s="17" t="inlineStr">
        <is>
          <t>2020-10</t>
        </is>
      </c>
      <c r="B613" s="19" t="n">
        <v>567359.7</v>
      </c>
      <c r="C613" s="19" t="n">
        <v>222100.12</v>
      </c>
      <c r="D613" s="27">
        <f>IFERROR(C613/B613, 0)</f>
        <v/>
      </c>
      <c r="E613" s="27">
        <f>IFERROR((B613-B612)/B612, 0)</f>
        <v/>
      </c>
      <c r="F613" s="21" t="n">
        <v>1753</v>
      </c>
    </row>
    <row r="614">
      <c r="A614" s="12" t="inlineStr">
        <is>
          <t>2020-11</t>
        </is>
      </c>
      <c r="B614" s="14" t="n">
        <v>666561.74</v>
      </c>
      <c r="C614" s="14" t="n">
        <v>265765.6</v>
      </c>
      <c r="D614" s="26">
        <f>IFERROR(C614/B614, 0)</f>
        <v/>
      </c>
      <c r="E614" s="26">
        <f>IFERROR((B614-B613)/B613, 0)</f>
        <v/>
      </c>
      <c r="F614" s="16" t="n">
        <v>2155</v>
      </c>
    </row>
    <row r="615">
      <c r="A615" s="17" t="inlineStr">
        <is>
          <t>2020-12</t>
        </is>
      </c>
      <c r="B615" s="19" t="n">
        <v>612911.11</v>
      </c>
      <c r="C615" s="19" t="n">
        <v>242526.32</v>
      </c>
      <c r="D615" s="27">
        <f>IFERROR(C615/B615, 0)</f>
        <v/>
      </c>
      <c r="E615" s="27">
        <f>IFERROR((B615-B614)/B614, 0)</f>
        <v/>
      </c>
      <c r="F615" s="21" t="n">
        <v>1947</v>
      </c>
    </row>
    <row r="616">
      <c r="A616" s="12" t="inlineStr">
        <is>
          <t>2021-01</t>
        </is>
      </c>
      <c r="B616" s="14" t="n">
        <v>594784.7</v>
      </c>
      <c r="C616" s="14" t="n">
        <v>231804.77</v>
      </c>
      <c r="D616" s="26">
        <f>IFERROR(C616/B616, 0)</f>
        <v/>
      </c>
      <c r="E616" s="26">
        <f>IFERROR((B616-B615)/B615, 0)</f>
        <v/>
      </c>
      <c r="F616" s="16" t="n">
        <v>1905</v>
      </c>
    </row>
    <row r="617">
      <c r="A617" s="17" t="inlineStr">
        <is>
          <t>2021-02</t>
        </is>
      </c>
      <c r="B617" s="19" t="n">
        <v>575840.51</v>
      </c>
      <c r="C617" s="19" t="n">
        <v>232095.18</v>
      </c>
      <c r="D617" s="27">
        <f>IFERROR(C617/B617, 0)</f>
        <v/>
      </c>
      <c r="E617" s="27">
        <f>IFERROR((B617-B616)/B616, 0)</f>
        <v/>
      </c>
      <c r="F617" s="21" t="n">
        <v>1827</v>
      </c>
    </row>
    <row r="618">
      <c r="A618" s="12" t="inlineStr">
        <is>
          <t>2021-03</t>
        </is>
      </c>
      <c r="B618" s="14" t="n">
        <v>602589.8100000001</v>
      </c>
      <c r="C618" s="14" t="n">
        <v>235877.75</v>
      </c>
      <c r="D618" s="26">
        <f>IFERROR(C618/B618, 0)</f>
        <v/>
      </c>
      <c r="E618" s="26">
        <f>IFERROR((B618-B617)/B617, 0)</f>
        <v/>
      </c>
      <c r="F618" s="16" t="n">
        <v>1902</v>
      </c>
    </row>
    <row r="619">
      <c r="A619" s="17" t="inlineStr">
        <is>
          <t>2021-04</t>
        </is>
      </c>
      <c r="B619" s="19" t="n">
        <v>628883.98</v>
      </c>
      <c r="C619" s="19" t="n">
        <v>248174.83</v>
      </c>
      <c r="D619" s="27">
        <f>IFERROR(C619/B619, 0)</f>
        <v/>
      </c>
      <c r="E619" s="27">
        <f>IFERROR((B619-B618)/B618, 0)</f>
        <v/>
      </c>
      <c r="F619" s="21" t="n">
        <v>1962</v>
      </c>
    </row>
    <row r="620">
      <c r="A620" s="12" t="inlineStr">
        <is>
          <t>2021-05</t>
        </is>
      </c>
      <c r="B620" s="14" t="n">
        <v>634382.89</v>
      </c>
      <c r="C620" s="14" t="n">
        <v>248111.8</v>
      </c>
      <c r="D620" s="26">
        <f>IFERROR(C620/B620, 0)</f>
        <v/>
      </c>
      <c r="E620" s="26">
        <f>IFERROR((B620-B619)/B619, 0)</f>
        <v/>
      </c>
      <c r="F620" s="16" t="n">
        <v>1968</v>
      </c>
    </row>
    <row r="621">
      <c r="A621" s="17" t="inlineStr">
        <is>
          <t>2021-06</t>
        </is>
      </c>
      <c r="B621" s="19" t="n">
        <v>566266.49</v>
      </c>
      <c r="C621" s="19" t="n">
        <v>217823.76</v>
      </c>
      <c r="D621" s="27">
        <f>IFERROR(C621/B621, 0)</f>
        <v/>
      </c>
      <c r="E621" s="27">
        <f>IFERROR((B621-B620)/B620, 0)</f>
        <v/>
      </c>
      <c r="F621" s="21" t="n">
        <v>1830</v>
      </c>
    </row>
    <row r="622">
      <c r="A622" s="12" t="inlineStr">
        <is>
          <t>2021-07</t>
        </is>
      </c>
      <c r="B622" s="14" t="n">
        <v>633421.89</v>
      </c>
      <c r="C622" s="14" t="n">
        <v>246653.8</v>
      </c>
      <c r="D622" s="26">
        <f>IFERROR(C622/B622, 0)</f>
        <v/>
      </c>
      <c r="E622" s="26">
        <f>IFERROR((B622-B621)/B621, 0)</f>
        <v/>
      </c>
      <c r="F622" s="16" t="n">
        <v>1998</v>
      </c>
    </row>
    <row r="623">
      <c r="A623" s="17" t="inlineStr">
        <is>
          <t>2021-08</t>
        </is>
      </c>
      <c r="B623" s="19" t="n">
        <v>605941.4399999999</v>
      </c>
      <c r="C623" s="19" t="n">
        <v>242233.68</v>
      </c>
      <c r="D623" s="27">
        <f>IFERROR(C623/B623, 0)</f>
        <v/>
      </c>
      <c r="E623" s="27">
        <f>IFERROR((B623-B622)/B622, 0)</f>
        <v/>
      </c>
      <c r="F623" s="21" t="n">
        <v>1886</v>
      </c>
    </row>
    <row r="624">
      <c r="A624" s="12" t="inlineStr">
        <is>
          <t>2021-09</t>
        </is>
      </c>
      <c r="B624" s="14" t="n">
        <v>577919.99</v>
      </c>
      <c r="C624" s="14" t="n">
        <v>227035.82</v>
      </c>
      <c r="D624" s="26">
        <f>IFERROR(C624/B624, 0)</f>
        <v/>
      </c>
      <c r="E624" s="26">
        <f>IFERROR((B624-B623)/B623, 0)</f>
        <v/>
      </c>
      <c r="F624" s="16" t="n">
        <v>1792</v>
      </c>
    </row>
    <row r="625">
      <c r="A625" s="17" t="inlineStr">
        <is>
          <t>2021-10</t>
        </is>
      </c>
      <c r="B625" s="19" t="n">
        <v>592290.24</v>
      </c>
      <c r="C625" s="19" t="n">
        <v>227567.72</v>
      </c>
      <c r="D625" s="27">
        <f>IFERROR(C625/B625, 0)</f>
        <v/>
      </c>
      <c r="E625" s="27">
        <f>IFERROR((B625-B624)/B624, 0)</f>
        <v/>
      </c>
      <c r="F625" s="21" t="n">
        <v>1916</v>
      </c>
    </row>
    <row r="626">
      <c r="A626" s="12" t="inlineStr">
        <is>
          <t>2021-11</t>
        </is>
      </c>
      <c r="B626" s="14" t="n">
        <v>599120.97</v>
      </c>
      <c r="C626" s="14" t="n">
        <v>236791.11</v>
      </c>
      <c r="D626" s="26">
        <f>IFERROR(C626/B626, 0)</f>
        <v/>
      </c>
      <c r="E626" s="26">
        <f>IFERROR((B626-B625)/B625, 0)</f>
        <v/>
      </c>
      <c r="F626" s="16" t="n">
        <v>1815</v>
      </c>
    </row>
    <row r="627">
      <c r="A627" s="17" t="inlineStr">
        <is>
          <t>2021-12</t>
        </is>
      </c>
      <c r="B627" s="19" t="n">
        <v>576886.23</v>
      </c>
      <c r="C627" s="19" t="n">
        <v>227137.55</v>
      </c>
      <c r="D627" s="27">
        <f>IFERROR(C627/B627, 0)</f>
        <v/>
      </c>
      <c r="E627" s="27">
        <f>IFERROR((B627-B626)/B626, 0)</f>
        <v/>
      </c>
      <c r="F627" s="21" t="n">
        <v>1859</v>
      </c>
    </row>
    <row r="628">
      <c r="A628" s="12" t="inlineStr">
        <is>
          <t>2022-01</t>
        </is>
      </c>
      <c r="B628" s="14" t="n">
        <v>1692283.72</v>
      </c>
      <c r="C628" s="14" t="n">
        <v>670312.04</v>
      </c>
      <c r="D628" s="26">
        <f>IFERROR(C628/B628, 0)</f>
        <v/>
      </c>
      <c r="E628" s="26">
        <f>IFERROR((B628-B627)/B627, 0)</f>
        <v/>
      </c>
      <c r="F628" s="16" t="n">
        <v>5310</v>
      </c>
    </row>
    <row r="629">
      <c r="A629" s="17" t="inlineStr">
        <is>
          <t>2022-02</t>
        </is>
      </c>
      <c r="B629" s="19" t="n">
        <v>1500122.11</v>
      </c>
      <c r="C629" s="19" t="n">
        <v>595421.89</v>
      </c>
      <c r="D629" s="27">
        <f>IFERROR(C629/B629, 0)</f>
        <v/>
      </c>
      <c r="E629" s="27">
        <f>IFERROR((B629-B628)/B628, 0)</f>
        <v/>
      </c>
      <c r="F629" s="21" t="n">
        <v>4648</v>
      </c>
    </row>
    <row r="630">
      <c r="A630" s="12" t="inlineStr">
        <is>
          <t>2022-03</t>
        </is>
      </c>
      <c r="B630" s="14" t="n">
        <v>1934907.53</v>
      </c>
      <c r="C630" s="14" t="n">
        <v>762562.67</v>
      </c>
      <c r="D630" s="26">
        <f>IFERROR(C630/B630, 0)</f>
        <v/>
      </c>
      <c r="E630" s="26">
        <f>IFERROR((B630-B629)/B629, 0)</f>
        <v/>
      </c>
      <c r="F630" s="16" t="n">
        <v>6126</v>
      </c>
    </row>
    <row r="631">
      <c r="A631" s="17" t="inlineStr">
        <is>
          <t>2022-04</t>
        </is>
      </c>
      <c r="B631" s="19" t="n">
        <v>2123068.57</v>
      </c>
      <c r="C631" s="19" t="n">
        <v>838195.25</v>
      </c>
      <c r="D631" s="27">
        <f>IFERROR(C631/B631, 0)</f>
        <v/>
      </c>
      <c r="E631" s="27">
        <f>IFERROR((B631-B630)/B630, 0)</f>
        <v/>
      </c>
      <c r="F631" s="21" t="n">
        <v>6728</v>
      </c>
    </row>
    <row r="632">
      <c r="A632" s="12" t="inlineStr">
        <is>
          <t>2022-05</t>
        </is>
      </c>
      <c r="B632" s="14" t="n">
        <v>2413141.45</v>
      </c>
      <c r="C632" s="14" t="n">
        <v>960394.8</v>
      </c>
      <c r="D632" s="26">
        <f>IFERROR(C632/B632, 0)</f>
        <v/>
      </c>
      <c r="E632" s="26">
        <f>IFERROR((B632-B631)/B631, 0)</f>
        <v/>
      </c>
      <c r="F632" s="16" t="n">
        <v>7676</v>
      </c>
    </row>
    <row r="633">
      <c r="A633" s="17" t="inlineStr">
        <is>
          <t>2022-06</t>
        </is>
      </c>
      <c r="B633" s="19" t="n">
        <v>2480520.25</v>
      </c>
      <c r="C633" s="19" t="n">
        <v>994119.1800000001</v>
      </c>
      <c r="D633" s="27">
        <f>IFERROR(C633/B633, 0)</f>
        <v/>
      </c>
      <c r="E633" s="27">
        <f>IFERROR((B633-B632)/B632, 0)</f>
        <v/>
      </c>
      <c r="F633" s="21" t="n">
        <v>8015</v>
      </c>
    </row>
    <row r="634">
      <c r="A634" s="12" t="inlineStr">
        <is>
          <t>2022-07</t>
        </is>
      </c>
      <c r="B634" s="14" t="n">
        <v>3160549.67</v>
      </c>
      <c r="C634" s="14" t="n">
        <v>1258726.98</v>
      </c>
      <c r="D634" s="26">
        <f>IFERROR(C634/B634, 0)</f>
        <v/>
      </c>
      <c r="E634" s="26">
        <f>IFERROR((B634-B633)/B633, 0)</f>
        <v/>
      </c>
      <c r="F634" s="16" t="n">
        <v>10071</v>
      </c>
    </row>
    <row r="635">
      <c r="A635" s="17" t="inlineStr">
        <is>
          <t>2022-08</t>
        </is>
      </c>
      <c r="B635" s="19" t="n">
        <v>2925611</v>
      </c>
      <c r="C635" s="19" t="n">
        <v>1170590.53</v>
      </c>
      <c r="D635" s="27">
        <f>IFERROR(C635/B635, 0)</f>
        <v/>
      </c>
      <c r="E635" s="27">
        <f>IFERROR((B635-B634)/B634, 0)</f>
        <v/>
      </c>
      <c r="F635" s="21" t="n">
        <v>9281</v>
      </c>
    </row>
    <row r="636">
      <c r="A636" s="12" t="inlineStr">
        <is>
          <t>2022-09</t>
        </is>
      </c>
      <c r="B636" s="14" t="n">
        <v>3105209.2</v>
      </c>
      <c r="C636" s="14" t="n">
        <v>1222158.32</v>
      </c>
      <c r="D636" s="26">
        <f>IFERROR(C636/B636, 0)</f>
        <v/>
      </c>
      <c r="E636" s="26">
        <f>IFERROR((B636-B635)/B635, 0)</f>
        <v/>
      </c>
      <c r="F636" s="16" t="n">
        <v>9815</v>
      </c>
    </row>
    <row r="637">
      <c r="A637" s="17" t="inlineStr">
        <is>
          <t>2022-10</t>
        </is>
      </c>
      <c r="B637" s="19" t="n">
        <v>3724314.12</v>
      </c>
      <c r="C637" s="19" t="n">
        <v>1461029.76</v>
      </c>
      <c r="D637" s="27">
        <f>IFERROR(C637/B637, 0)</f>
        <v/>
      </c>
      <c r="E637" s="27">
        <f>IFERROR((B637-B636)/B636, 0)</f>
        <v/>
      </c>
      <c r="F637" s="21" t="n">
        <v>11682</v>
      </c>
    </row>
    <row r="638">
      <c r="A638" s="12" t="inlineStr">
        <is>
          <t>2022-11</t>
        </is>
      </c>
      <c r="B638" s="14" t="n">
        <v>6504354.78</v>
      </c>
      <c r="C638" s="14" t="n">
        <v>2598860.39</v>
      </c>
      <c r="D638" s="26">
        <f>IFERROR(C638/B638, 0)</f>
        <v/>
      </c>
      <c r="E638" s="26">
        <f>IFERROR((B638-B637)/B637, 0)</f>
        <v/>
      </c>
      <c r="F638" s="16" t="n">
        <v>20553</v>
      </c>
    </row>
    <row r="639">
      <c r="A639" s="17" t="inlineStr">
        <is>
          <t>2022-12</t>
        </is>
      </c>
      <c r="B639" s="19" t="n">
        <v>7472139.48</v>
      </c>
      <c r="C639" s="19" t="n">
        <v>2924829.9</v>
      </c>
      <c r="D639" s="27">
        <f>IFERROR(C639/B639, 0)</f>
        <v/>
      </c>
      <c r="E639" s="27">
        <f>IFERROR((B639-B638)/B638, 0)</f>
        <v/>
      </c>
      <c r="F639" s="21" t="n">
        <v>23072</v>
      </c>
    </row>
    <row r="640">
      <c r="A640" s="12" t="inlineStr">
        <is>
          <t>2023-01</t>
        </is>
      </c>
      <c r="B640" s="14" t="n">
        <v>4194695.37</v>
      </c>
      <c r="C640" s="14" t="n">
        <v>1638925.58</v>
      </c>
      <c r="D640" s="26">
        <f>IFERROR(C640/B640, 0)</f>
        <v/>
      </c>
      <c r="E640" s="26">
        <f>IFERROR((B640-B639)/B639, 0)</f>
        <v/>
      </c>
      <c r="F640" s="16" t="n">
        <v>13374</v>
      </c>
    </row>
    <row r="641">
      <c r="A641" s="17" t="inlineStr">
        <is>
          <t>2023-02</t>
        </is>
      </c>
      <c r="B641" s="19" t="n">
        <v>3615768.25</v>
      </c>
      <c r="C641" s="19" t="n">
        <v>1432522.27</v>
      </c>
      <c r="D641" s="27">
        <f>IFERROR(C641/B641, 0)</f>
        <v/>
      </c>
      <c r="E641" s="27">
        <f>IFERROR((B641-B640)/B640, 0)</f>
        <v/>
      </c>
      <c r="F641" s="21" t="n">
        <v>11662</v>
      </c>
    </row>
    <row r="642">
      <c r="A642" s="12" t="inlineStr">
        <is>
          <t>2023-03</t>
        </is>
      </c>
      <c r="B642" s="14" t="n">
        <v>4865301.4</v>
      </c>
      <c r="C642" s="14" t="n">
        <v>1925332.47</v>
      </c>
      <c r="D642" s="26">
        <f>IFERROR(C642/B642, 0)</f>
        <v/>
      </c>
      <c r="E642" s="26">
        <f>IFERROR((B642-B641)/B641, 0)</f>
        <v/>
      </c>
      <c r="F642" s="16" t="n">
        <v>15227</v>
      </c>
    </row>
    <row r="643">
      <c r="A643" s="17" t="inlineStr">
        <is>
          <t>2023-04</t>
        </is>
      </c>
      <c r="B643" s="19" t="n">
        <v>4749710.07</v>
      </c>
      <c r="C643" s="19" t="n">
        <v>1904654.96</v>
      </c>
      <c r="D643" s="27">
        <f>IFERROR(C643/B643, 0)</f>
        <v/>
      </c>
      <c r="E643" s="27">
        <f>IFERROR((B643-B642)/B642, 0)</f>
        <v/>
      </c>
      <c r="F643" s="21" t="n">
        <v>15342</v>
      </c>
    </row>
    <row r="644">
      <c r="A644" s="12" t="inlineStr">
        <is>
          <t>2023-05</t>
        </is>
      </c>
      <c r="B644" s="14" t="n">
        <v>5593804.21</v>
      </c>
      <c r="C644" s="14" t="n">
        <v>2187802.42</v>
      </c>
      <c r="D644" s="26">
        <f>IFERROR(C644/B644, 0)</f>
        <v/>
      </c>
      <c r="E644" s="26">
        <f>IFERROR((B644-B643)/B643, 0)</f>
        <v/>
      </c>
      <c r="F644" s="16" t="n">
        <v>17337</v>
      </c>
    </row>
    <row r="645">
      <c r="A645" s="17" t="inlineStr">
        <is>
          <t>2023-06</t>
        </is>
      </c>
      <c r="B645" s="19" t="n">
        <v>5991698.66</v>
      </c>
      <c r="C645" s="19" t="n">
        <v>2359768.33</v>
      </c>
      <c r="D645" s="27">
        <f>IFERROR(C645/B645, 0)</f>
        <v/>
      </c>
      <c r="E645" s="27">
        <f>IFERROR((B645-B644)/B644, 0)</f>
        <v/>
      </c>
      <c r="F645" s="21" t="n">
        <v>18763</v>
      </c>
    </row>
    <row r="646">
      <c r="A646" s="12" t="inlineStr">
        <is>
          <t>2023-07</t>
        </is>
      </c>
      <c r="B646" s="14" t="n">
        <v>7332794.56</v>
      </c>
      <c r="C646" s="14" t="n">
        <v>2906238.31</v>
      </c>
      <c r="D646" s="26">
        <f>IFERROR(C646/B646, 0)</f>
        <v/>
      </c>
      <c r="E646" s="26">
        <f>IFERROR((B646-B645)/B645, 0)</f>
        <v/>
      </c>
      <c r="F646" s="16" t="n">
        <v>23081</v>
      </c>
    </row>
    <row r="647">
      <c r="A647" s="17" t="inlineStr">
        <is>
          <t>2023-08</t>
        </is>
      </c>
      <c r="B647" s="19" t="n">
        <v>6997943.26</v>
      </c>
      <c r="C647" s="19" t="n">
        <v>2771303.01</v>
      </c>
      <c r="D647" s="27">
        <f>IFERROR(C647/B647, 0)</f>
        <v/>
      </c>
      <c r="E647" s="27">
        <f>IFERROR((B647-B646)/B646, 0)</f>
        <v/>
      </c>
      <c r="F647" s="21" t="n">
        <v>22015</v>
      </c>
    </row>
    <row r="648">
      <c r="A648" s="12" t="inlineStr">
        <is>
          <t>2023-09</t>
        </is>
      </c>
      <c r="B648" s="14" t="n">
        <v>6600176.62</v>
      </c>
      <c r="C648" s="14" t="n">
        <v>2609344.97</v>
      </c>
      <c r="D648" s="26">
        <f>IFERROR(C648/B648, 0)</f>
        <v/>
      </c>
      <c r="E648" s="26">
        <f>IFERROR((B648-B647)/B647, 0)</f>
        <v/>
      </c>
      <c r="F648" s="16" t="n">
        <v>20527</v>
      </c>
    </row>
    <row r="649">
      <c r="A649" s="17" t="inlineStr">
        <is>
          <t>2023-10</t>
        </is>
      </c>
      <c r="B649" s="19" t="n">
        <v>8157321.78</v>
      </c>
      <c r="C649" s="19" t="n">
        <v>3221275.61</v>
      </c>
      <c r="D649" s="27">
        <f>IFERROR(C649/B649, 0)</f>
        <v/>
      </c>
      <c r="E649" s="27">
        <f>IFERROR((B649-B648)/B648, 0)</f>
        <v/>
      </c>
      <c r="F649" s="21" t="n">
        <v>25714</v>
      </c>
    </row>
    <row r="650">
      <c r="A650" s="12" t="inlineStr">
        <is>
          <t>2023-11</t>
        </is>
      </c>
      <c r="B650" s="14" t="n">
        <v>13676392.86</v>
      </c>
      <c r="C650" s="14" t="n">
        <v>5392940.02</v>
      </c>
      <c r="D650" s="26">
        <f>IFERROR(C650/B650, 0)</f>
        <v/>
      </c>
      <c r="E650" s="26">
        <f>IFERROR((B650-B649)/B649, 0)</f>
        <v/>
      </c>
      <c r="F650" s="16" t="n">
        <v>42733</v>
      </c>
    </row>
    <row r="651">
      <c r="A651" s="17" t="inlineStr">
        <is>
          <t>2023-12</t>
        </is>
      </c>
      <c r="B651" s="19" t="n">
        <v>15764956.39</v>
      </c>
      <c r="C651" s="19" t="n">
        <v>6234913.73</v>
      </c>
      <c r="D651" s="27">
        <f>IFERROR(C651/B651, 0)</f>
        <v/>
      </c>
      <c r="E651" s="27">
        <f>IFERROR((B651-B650)/B650, 0)</f>
        <v/>
      </c>
      <c r="F651" s="21" t="n">
        <v>50091</v>
      </c>
    </row>
    <row r="652">
      <c r="A652" s="12" t="inlineStr">
        <is>
          <t>2024-01</t>
        </is>
      </c>
      <c r="B652" s="14" t="n">
        <v>8359795.67</v>
      </c>
      <c r="C652" s="14" t="n">
        <v>3301911.44</v>
      </c>
      <c r="D652" s="26">
        <f>IFERROR(C652/B652, 0)</f>
        <v/>
      </c>
      <c r="E652" s="26">
        <f>IFERROR((B652-B651)/B651, 0)</f>
        <v/>
      </c>
      <c r="F652" s="16" t="n">
        <v>26328</v>
      </c>
    </row>
    <row r="653">
      <c r="A653" s="17" t="inlineStr">
        <is>
          <t>2024-02</t>
        </is>
      </c>
      <c r="B653" s="19" t="n">
        <v>7930159.71</v>
      </c>
      <c r="C653" s="19" t="n">
        <v>3136054.51</v>
      </c>
      <c r="D653" s="27">
        <f>IFERROR(C653/B653, 0)</f>
        <v/>
      </c>
      <c r="E653" s="27">
        <f>IFERROR((B653-B652)/B652, 0)</f>
        <v/>
      </c>
      <c r="F653" s="21" t="n">
        <v>24982</v>
      </c>
    </row>
    <row r="654">
      <c r="A654" s="12" t="inlineStr">
        <is>
          <t>2024-03</t>
        </is>
      </c>
      <c r="B654" s="14" t="n">
        <v>9542568.18</v>
      </c>
      <c r="C654" s="14" t="n">
        <v>3778533.76</v>
      </c>
      <c r="D654" s="26">
        <f>IFERROR(C654/B654, 0)</f>
        <v/>
      </c>
      <c r="E654" s="26">
        <f>IFERROR((B654-B653)/B653, 0)</f>
        <v/>
      </c>
      <c r="F654" s="16" t="n">
        <v>29899</v>
      </c>
    </row>
    <row r="655">
      <c r="A655" s="17" t="inlineStr">
        <is>
          <t>2024-04</t>
        </is>
      </c>
      <c r="B655" s="19" t="n">
        <v>10043296.04</v>
      </c>
      <c r="C655" s="19" t="n">
        <v>3984805.3</v>
      </c>
      <c r="D655" s="27">
        <f>IFERROR(C655/B655, 0)</f>
        <v/>
      </c>
      <c r="E655" s="27">
        <f>IFERROR((B655-B654)/B654, 0)</f>
        <v/>
      </c>
      <c r="F655" s="21" t="n">
        <v>31564</v>
      </c>
    </row>
    <row r="656">
      <c r="A656" s="12" t="inlineStr">
        <is>
          <t>2024-05</t>
        </is>
      </c>
      <c r="B656" s="14" t="n">
        <v>10728021.95</v>
      </c>
      <c r="C656" s="14" t="n">
        <v>4261398.88</v>
      </c>
      <c r="D656" s="26">
        <f>IFERROR(C656/B656, 0)</f>
        <v/>
      </c>
      <c r="E656" s="26">
        <f>IFERROR((B656-B655)/B655, 0)</f>
        <v/>
      </c>
      <c r="F656" s="16" t="n">
        <v>33659</v>
      </c>
    </row>
    <row r="657">
      <c r="A657" s="17" t="inlineStr">
        <is>
          <t>2024-06</t>
        </is>
      </c>
      <c r="B657" s="19" t="n">
        <v>11417647.28</v>
      </c>
      <c r="C657" s="19" t="n">
        <v>4470563.7</v>
      </c>
      <c r="D657" s="27">
        <f>IFERROR(C657/B657, 0)</f>
        <v/>
      </c>
      <c r="E657" s="27">
        <f>IFERROR((B657-B656)/B656, 0)</f>
        <v/>
      </c>
      <c r="F657" s="21" t="n">
        <v>36016</v>
      </c>
    </row>
    <row r="658">
      <c r="A658" s="12" t="inlineStr">
        <is>
          <t>2024-07</t>
        </is>
      </c>
      <c r="B658" s="14" t="n">
        <v>13653849.27</v>
      </c>
      <c r="C658" s="14" t="n">
        <v>5427982.63</v>
      </c>
      <c r="D658" s="26">
        <f>IFERROR(C658/B658, 0)</f>
        <v/>
      </c>
      <c r="E658" s="26">
        <f>IFERROR((B658-B657)/B657, 0)</f>
        <v/>
      </c>
      <c r="F658" s="16" t="n">
        <v>43427</v>
      </c>
    </row>
    <row r="659">
      <c r="A659" s="17" t="inlineStr">
        <is>
          <t>2024-08</t>
        </is>
      </c>
      <c r="B659" s="19" t="n">
        <v>12468616.71</v>
      </c>
      <c r="C659" s="19" t="n">
        <v>4921046.7</v>
      </c>
      <c r="D659" s="27">
        <f>IFERROR(C659/B659, 0)</f>
        <v/>
      </c>
      <c r="E659" s="27">
        <f>IFERROR((B659-B658)/B658, 0)</f>
        <v/>
      </c>
      <c r="F659" s="21" t="n">
        <v>39047</v>
      </c>
    </row>
    <row r="660">
      <c r="A660" s="12" t="inlineStr">
        <is>
          <t>2024-09</t>
        </is>
      </c>
      <c r="B660" s="14" t="n">
        <v>12406631.97</v>
      </c>
      <c r="C660" s="14" t="n">
        <v>4870400.64</v>
      </c>
      <c r="D660" s="26">
        <f>IFERROR(C660/B660, 0)</f>
        <v/>
      </c>
      <c r="E660" s="26">
        <f>IFERROR((B660-B659)/B659, 0)</f>
        <v/>
      </c>
      <c r="F660" s="16" t="n">
        <v>38761</v>
      </c>
    </row>
    <row r="661">
      <c r="A661" s="17" t="inlineStr">
        <is>
          <t>2024-10</t>
        </is>
      </c>
      <c r="B661" s="19" t="n">
        <v>14680247.41</v>
      </c>
      <c r="C661" s="19" t="n">
        <v>5803646.06</v>
      </c>
      <c r="D661" s="27">
        <f>IFERROR(C661/B661, 0)</f>
        <v/>
      </c>
      <c r="E661" s="27">
        <f>IFERROR((B661-B660)/B660, 0)</f>
        <v/>
      </c>
      <c r="F661" s="21" t="n">
        <v>46512</v>
      </c>
    </row>
    <row r="662">
      <c r="A662" s="12" t="inlineStr">
        <is>
          <t>2024-11</t>
        </is>
      </c>
      <c r="B662" s="14" t="n">
        <v>25306575.15</v>
      </c>
      <c r="C662" s="14" t="n">
        <v>9974839.210000001</v>
      </c>
      <c r="D662" s="26">
        <f>IFERROR(C662/B662, 0)</f>
        <v/>
      </c>
      <c r="E662" s="26">
        <f>IFERROR((B662-B661)/B661, 0)</f>
        <v/>
      </c>
      <c r="F662" s="16" t="n">
        <v>79280</v>
      </c>
    </row>
    <row r="663">
      <c r="A663" s="17" t="inlineStr">
        <is>
          <t>2024-12</t>
        </is>
      </c>
      <c r="B663" s="19" t="n">
        <v>29217207.07</v>
      </c>
      <c r="C663" s="19" t="n">
        <v>11553841.14</v>
      </c>
      <c r="D663" s="27">
        <f>IFERROR(C663/B663, 0)</f>
        <v/>
      </c>
      <c r="E663" s="27">
        <f>IFERROR((B663-B662)/B662, 0)</f>
        <v/>
      </c>
      <c r="F663" s="21" t="n">
        <v>92325</v>
      </c>
    </row>
    <row r="664">
      <c r="A664" s="12" t="inlineStr">
        <is>
          <t>2025-01</t>
        </is>
      </c>
      <c r="B664" s="14" t="n">
        <v>14249393.93</v>
      </c>
      <c r="C664" s="14" t="n">
        <v>5642038.5</v>
      </c>
      <c r="D664" s="26">
        <f>IFERROR(C664/B664, 0)</f>
        <v/>
      </c>
      <c r="E664" s="26">
        <f>IFERROR((B664-B663)/B663, 0)</f>
        <v/>
      </c>
      <c r="F664" s="16" t="n">
        <v>44856</v>
      </c>
    </row>
    <row r="665">
      <c r="A665" s="17" t="inlineStr">
        <is>
          <t>2025-02</t>
        </is>
      </c>
      <c r="B665" s="19" t="n">
        <v>12697901.52</v>
      </c>
      <c r="C665" s="19" t="n">
        <v>4991139.15</v>
      </c>
      <c r="D665" s="27">
        <f>IFERROR(C665/B665, 0)</f>
        <v/>
      </c>
      <c r="E665" s="27">
        <f>IFERROR((B665-B664)/B664, 0)</f>
        <v/>
      </c>
      <c r="F665" s="21" t="n">
        <v>39934</v>
      </c>
    </row>
    <row r="666">
      <c r="A666" s="12" t="inlineStr">
        <is>
          <t>2025-03</t>
        </is>
      </c>
      <c r="B666" s="14" t="n">
        <v>15890399.29</v>
      </c>
      <c r="C666" s="14" t="n">
        <v>6269274.63</v>
      </c>
      <c r="D666" s="26">
        <f>IFERROR(C666/B666, 0)</f>
        <v/>
      </c>
      <c r="E666" s="26">
        <f>IFERROR((B666-B665)/B665, 0)</f>
        <v/>
      </c>
      <c r="F666" s="16" t="n">
        <v>49971</v>
      </c>
    </row>
    <row r="667">
      <c r="A667" s="17" t="inlineStr">
        <is>
          <t>2025-04</t>
        </is>
      </c>
      <c r="B667" s="19" t="n">
        <v>15940766.73</v>
      </c>
      <c r="C667" s="19" t="n">
        <v>6279322.45</v>
      </c>
      <c r="D667" s="27">
        <f>IFERROR(C667/B667, 0)</f>
        <v/>
      </c>
      <c r="E667" s="27">
        <f>IFERROR((B667-B666)/B666, 0)</f>
        <v/>
      </c>
      <c r="F667" s="21" t="n">
        <v>49730</v>
      </c>
    </row>
    <row r="668">
      <c r="A668" s="12" t="inlineStr">
        <is>
          <t>2025-05</t>
        </is>
      </c>
      <c r="B668" s="14" t="n">
        <v>18030360.62</v>
      </c>
      <c r="C668" s="14" t="n">
        <v>7109147.41</v>
      </c>
      <c r="D668" s="26">
        <f>IFERROR(C668/B668, 0)</f>
        <v/>
      </c>
      <c r="E668" s="26">
        <f>IFERROR((B668-B667)/B667, 0)</f>
        <v/>
      </c>
      <c r="F668" s="16" t="n">
        <v>56767</v>
      </c>
    </row>
    <row r="669">
      <c r="A669" s="17" t="inlineStr">
        <is>
          <t>2025-06</t>
        </is>
      </c>
      <c r="B669" s="19" t="n">
        <v>19116249.33</v>
      </c>
      <c r="C669" s="19" t="n">
        <v>7515217.04</v>
      </c>
      <c r="D669" s="27">
        <f>IFERROR(C669/B669, 0)</f>
        <v/>
      </c>
      <c r="E669" s="27">
        <f>IFERROR((B669-B668)/B668, 0)</f>
        <v/>
      </c>
      <c r="F669" s="21" t="n">
        <v>60340</v>
      </c>
    </row>
    <row r="670">
      <c r="A670" s="12" t="inlineStr">
        <is>
          <t>2025-07</t>
        </is>
      </c>
      <c r="B670" s="14" t="n">
        <v>22230056.23</v>
      </c>
      <c r="C670" s="14" t="n">
        <v>8809945.539999999</v>
      </c>
      <c r="D670" s="26">
        <f>IFERROR(C670/B670, 0)</f>
        <v/>
      </c>
      <c r="E670" s="26">
        <f>IFERROR((B670-B669)/B669, 0)</f>
        <v/>
      </c>
      <c r="F670" s="16" t="n">
        <v>69567</v>
      </c>
    </row>
    <row r="671">
      <c r="A671" s="17" t="inlineStr">
        <is>
          <t>2025-08</t>
        </is>
      </c>
      <c r="B671" s="19" t="n">
        <v>20801016.83</v>
      </c>
      <c r="C671" s="19" t="n">
        <v>8197925.26</v>
      </c>
      <c r="D671" s="27">
        <f>IFERROR(C671/B671, 0)</f>
        <v/>
      </c>
      <c r="E671" s="27">
        <f>IFERROR((B671-B670)/B670, 0)</f>
        <v/>
      </c>
      <c r="F671" s="21" t="n">
        <v>65509</v>
      </c>
    </row>
    <row r="672">
      <c r="A672" s="12" t="inlineStr">
        <is>
          <t>2025-09</t>
        </is>
      </c>
      <c r="B672" s="14" t="n">
        <v>19787462.31</v>
      </c>
      <c r="C672" s="14" t="n">
        <v>7854360.37</v>
      </c>
      <c r="D672" s="26">
        <f>IFERROR(C672/B672, 0)</f>
        <v/>
      </c>
      <c r="E672" s="26">
        <f>IFERROR((B672-B671)/B671, 0)</f>
        <v/>
      </c>
      <c r="F672" s="16" t="n">
        <v>62640</v>
      </c>
    </row>
    <row r="673">
      <c r="A673" s="17" t="inlineStr">
        <is>
          <t>2025-10</t>
        </is>
      </c>
      <c r="B673" s="19" t="n">
        <v>24036464.77</v>
      </c>
      <c r="C673" s="19" t="n">
        <v>9479393.91</v>
      </c>
      <c r="D673" s="27">
        <f>IFERROR(C673/B673, 0)</f>
        <v/>
      </c>
      <c r="E673" s="27">
        <f>IFERROR((B673-B672)/B672, 0)</f>
        <v/>
      </c>
      <c r="F673" s="21" t="n">
        <v>75111</v>
      </c>
    </row>
    <row r="674">
      <c r="A674" s="12" t="inlineStr">
        <is>
          <t>2025-11</t>
        </is>
      </c>
      <c r="B674" s="14" t="n">
        <v>39874239.53</v>
      </c>
      <c r="C674" s="14" t="n">
        <v>15775368.79</v>
      </c>
      <c r="D674" s="26">
        <f>IFERROR(C674/B674, 0)</f>
        <v/>
      </c>
      <c r="E674" s="26">
        <f>IFERROR((B674-B673)/B673, 0)</f>
        <v/>
      </c>
      <c r="F674" s="16" t="n">
        <v>125536</v>
      </c>
    </row>
    <row r="675">
      <c r="A675" s="17" t="inlineStr">
        <is>
          <t>2025-12</t>
        </is>
      </c>
      <c r="B675" s="19" t="n">
        <v>45174435.9</v>
      </c>
      <c r="C675" s="19" t="n">
        <v>17849502.38</v>
      </c>
      <c r="D675" s="27">
        <f>IFERROR(C675/B675, 0)</f>
        <v/>
      </c>
      <c r="E675" s="27">
        <f>IFERROR((B675-B674)/B674, 0)</f>
        <v/>
      </c>
      <c r="F675" s="21" t="n">
        <v>141034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16" customWidth="1" min="4" max="4"/>
    <col width="33" customWidth="1" min="5" max="5"/>
    <col width="17" customWidth="1" min="6" max="6"/>
    <col width="17" customWidth="1" min="7" max="7"/>
  </cols>
  <sheetData>
    <row r="1">
      <c r="A1" s="8" t="inlineStr">
        <is>
          <t>Customer Acquisition Channel &amp; Geographic Performance</t>
        </is>
      </c>
    </row>
    <row r="2"/>
    <row r="3">
      <c r="A3" s="28" t="inlineStr">
        <is>
          <t>Acquisition Channel Performance</t>
        </is>
      </c>
      <c r="E3" s="28" t="inlineStr">
        <is>
          <t>Regional Customer Distribution</t>
        </is>
      </c>
    </row>
    <row r="4">
      <c r="A4" s="29" t="inlineStr">
        <is>
          <t>Acquisition Channel</t>
        </is>
      </c>
      <c r="B4" s="29" t="inlineStr">
        <is>
          <t>Total Customers</t>
        </is>
      </c>
      <c r="C4" s="29" t="inlineStr">
        <is>
          <t>Customer Share %</t>
        </is>
      </c>
      <c r="E4" s="29" t="inlineStr">
        <is>
          <t>Region</t>
        </is>
      </c>
      <c r="F4" s="29" t="inlineStr">
        <is>
          <t>Country</t>
        </is>
      </c>
      <c r="G4" s="29" t="inlineStr">
        <is>
          <t>Customer Count</t>
        </is>
      </c>
    </row>
    <row r="5">
      <c r="A5" s="18" t="inlineStr">
        <is>
          <t>Organic Search</t>
        </is>
      </c>
      <c r="B5" s="21" t="n">
        <v>25191</v>
      </c>
      <c r="C5" s="27">
        <f>B5/SUM($B$5:$B$11)</f>
        <v/>
      </c>
      <c r="E5" s="18" t="inlineStr">
        <is>
          <t>North America</t>
        </is>
      </c>
      <c r="F5" s="18" t="inlineStr">
        <is>
          <t>United States</t>
        </is>
      </c>
      <c r="G5" s="21" t="n">
        <v>51072</v>
      </c>
    </row>
    <row r="6">
      <c r="A6" s="13" t="inlineStr">
        <is>
          <t>Social Media</t>
        </is>
      </c>
      <c r="B6" s="16" t="n">
        <v>22000</v>
      </c>
      <c r="C6" s="26">
        <f>B6/SUM($B$5:$B$11)</f>
        <v/>
      </c>
      <c r="E6" s="13" t="inlineStr">
        <is>
          <t>Europe</t>
        </is>
      </c>
      <c r="F6" s="13" t="inlineStr">
        <is>
          <t>United Kingdom</t>
        </is>
      </c>
      <c r="G6" s="16" t="n">
        <v>10719</v>
      </c>
    </row>
    <row r="7">
      <c r="A7" s="18" t="inlineStr">
        <is>
          <t>Paid Search</t>
        </is>
      </c>
      <c r="B7" s="21" t="n">
        <v>20125</v>
      </c>
      <c r="C7" s="27">
        <f>B7/SUM($B$5:$B$11)</f>
        <v/>
      </c>
      <c r="E7" s="18" t="inlineStr">
        <is>
          <t>Asia-Pacific</t>
        </is>
      </c>
      <c r="F7" s="18" t="inlineStr">
        <is>
          <t>India</t>
        </is>
      </c>
      <c r="G7" s="21" t="n">
        <v>8859</v>
      </c>
    </row>
    <row r="8">
      <c r="A8" s="13" t="inlineStr">
        <is>
          <t>Email</t>
        </is>
      </c>
      <c r="B8" s="16" t="n">
        <v>11811</v>
      </c>
      <c r="C8" s="26">
        <f>B8/SUM($B$5:$B$11)</f>
        <v/>
      </c>
      <c r="E8" s="13" t="inlineStr">
        <is>
          <t>Europe</t>
        </is>
      </c>
      <c r="F8" s="13" t="inlineStr">
        <is>
          <t>Germany</t>
        </is>
      </c>
      <c r="G8" s="16" t="n">
        <v>7958</v>
      </c>
    </row>
    <row r="9">
      <c r="A9" s="18" t="inlineStr">
        <is>
          <t>Referral</t>
        </is>
      </c>
      <c r="B9" s="21" t="n">
        <v>7970</v>
      </c>
      <c r="C9" s="27">
        <f>B9/SUM($B$5:$B$11)</f>
        <v/>
      </c>
      <c r="E9" s="18" t="inlineStr">
        <is>
          <t>North America</t>
        </is>
      </c>
      <c r="F9" s="18" t="inlineStr">
        <is>
          <t>Canada</t>
        </is>
      </c>
      <c r="G9" s="21" t="n">
        <v>7108</v>
      </c>
    </row>
    <row r="10">
      <c r="A10" s="13" t="inlineStr">
        <is>
          <t>Direct</t>
        </is>
      </c>
      <c r="B10" s="16" t="n">
        <v>7923</v>
      </c>
      <c r="C10" s="26">
        <f>B10/SUM($B$5:$B$11)</f>
        <v/>
      </c>
      <c r="E10" s="13" t="inlineStr">
        <is>
          <t>Europe</t>
        </is>
      </c>
      <c r="F10" s="13" t="inlineStr">
        <is>
          <t>France</t>
        </is>
      </c>
      <c r="G10" s="16" t="n">
        <v>5412</v>
      </c>
    </row>
    <row r="11">
      <c r="A11" s="18" t="inlineStr">
        <is>
          <t>Affiliate</t>
        </is>
      </c>
      <c r="B11" s="21" t="n">
        <v>4980</v>
      </c>
      <c r="C11" s="27">
        <f>B11/SUM($B$5:$B$11)</f>
        <v/>
      </c>
      <c r="E11" s="18" t="inlineStr">
        <is>
          <t>Asia-Pacific</t>
        </is>
      </c>
      <c r="F11" s="18" t="inlineStr">
        <is>
          <t>Australia</t>
        </is>
      </c>
      <c r="G11" s="21" t="n">
        <v>4408</v>
      </c>
    </row>
    <row r="12">
      <c r="E12" s="13" t="inlineStr">
        <is>
          <t>Latin America</t>
        </is>
      </c>
      <c r="F12" s="13" t="inlineStr">
        <is>
          <t>Brazil</t>
        </is>
      </c>
      <c r="G12" s="16" t="n">
        <v>2668</v>
      </c>
    </row>
    <row r="13">
      <c r="E13" s="18" t="inlineStr">
        <is>
          <t>Latin America</t>
        </is>
      </c>
      <c r="F13" s="18" t="inlineStr">
        <is>
          <t>Mexico</t>
        </is>
      </c>
      <c r="G13" s="21" t="n">
        <v>1796</v>
      </c>
    </row>
    <row r="14"/>
    <row r="15"/>
    <row r="16"/>
    <row r="17"/>
    <row r="18"/>
    <row r="19"/>
    <row r="20"/>
    <row r="21"/>
    <row r="22">
      <c r="A22" s="8" t="inlineStr">
        <is>
          <t>Top Customer Profile Sample (Demonstrating XLOOKUP &amp; Segmentation)</t>
        </is>
      </c>
    </row>
    <row r="23">
      <c r="A23" s="29" t="inlineStr">
        <is>
          <t>CustomerID</t>
        </is>
      </c>
      <c r="B23" s="29" t="inlineStr">
        <is>
          <t>Customer Name</t>
        </is>
      </c>
      <c r="C23" s="29" t="inlineStr">
        <is>
          <t>Country</t>
        </is>
      </c>
      <c r="D23" s="29" t="inlineStr">
        <is>
          <t>Region</t>
        </is>
      </c>
      <c r="E23" s="29" t="inlineStr">
        <is>
          <t>Total Revenue</t>
        </is>
      </c>
      <c r="F23" s="29" t="inlineStr">
        <is>
          <t>Total Orders</t>
        </is>
      </c>
      <c r="G23" s="29" t="inlineStr">
        <is>
          <t>RFM Segment</t>
        </is>
      </c>
    </row>
    <row r="24">
      <c r="A24" s="12" t="n">
        <v>72278</v>
      </c>
      <c r="B24" s="13" t="inlineStr">
        <is>
          <t>Amanda Stewart</t>
        </is>
      </c>
      <c r="C24" s="13" t="inlineStr">
        <is>
          <t>United States</t>
        </is>
      </c>
      <c r="D24" s="13" t="inlineStr">
        <is>
          <t>North America</t>
        </is>
      </c>
      <c r="E24" s="14" t="n">
        <v>164845.69</v>
      </c>
      <c r="F24" s="16" t="n">
        <v>87</v>
      </c>
      <c r="G24" s="13" t="inlineStr">
        <is>
          <t>Champions</t>
        </is>
      </c>
    </row>
    <row r="25">
      <c r="A25" s="17" t="n">
        <v>78575</v>
      </c>
      <c r="B25" s="18" t="inlineStr">
        <is>
          <t>Riley Sanchez</t>
        </is>
      </c>
      <c r="C25" s="18" t="inlineStr">
        <is>
          <t>United States</t>
        </is>
      </c>
      <c r="D25" s="18" t="inlineStr">
        <is>
          <t>North America</t>
        </is>
      </c>
      <c r="E25" s="19" t="n">
        <v>164053.09</v>
      </c>
      <c r="F25" s="21" t="n">
        <v>86</v>
      </c>
      <c r="G25" s="18" t="inlineStr">
        <is>
          <t>Champions</t>
        </is>
      </c>
    </row>
    <row r="26">
      <c r="A26" s="12" t="n">
        <v>3369</v>
      </c>
      <c r="B26" s="13" t="inlineStr">
        <is>
          <t>Roy Diaz</t>
        </is>
      </c>
      <c r="C26" s="13" t="inlineStr">
        <is>
          <t>Brazil</t>
        </is>
      </c>
      <c r="D26" s="13" t="inlineStr">
        <is>
          <t>Latin America</t>
        </is>
      </c>
      <c r="E26" s="14" t="n">
        <v>153329.38</v>
      </c>
      <c r="F26" s="16" t="n">
        <v>84</v>
      </c>
      <c r="G26" s="13" t="inlineStr">
        <is>
          <t>Champions</t>
        </is>
      </c>
    </row>
    <row r="27">
      <c r="A27" s="17" t="n">
        <v>27830</v>
      </c>
      <c r="B27" s="18" t="inlineStr">
        <is>
          <t>Lisa King</t>
        </is>
      </c>
      <c r="C27" s="18" t="inlineStr">
        <is>
          <t>Germany</t>
        </is>
      </c>
      <c r="D27" s="18" t="inlineStr">
        <is>
          <t>Europe</t>
        </is>
      </c>
      <c r="E27" s="19" t="n">
        <v>147480.34</v>
      </c>
      <c r="F27" s="21" t="n">
        <v>77</v>
      </c>
      <c r="G27" s="18" t="inlineStr">
        <is>
          <t>Champions</t>
        </is>
      </c>
    </row>
    <row r="28">
      <c r="A28" s="12" t="n">
        <v>23177</v>
      </c>
      <c r="B28" s="13" t="inlineStr">
        <is>
          <t>Eric Murphy</t>
        </is>
      </c>
      <c r="C28" s="13" t="inlineStr">
        <is>
          <t>Germany</t>
        </is>
      </c>
      <c r="D28" s="13" t="inlineStr">
        <is>
          <t>Europe</t>
        </is>
      </c>
      <c r="E28" s="14" t="n">
        <v>142148.4</v>
      </c>
      <c r="F28" s="16" t="n">
        <v>71</v>
      </c>
      <c r="G28" s="13" t="inlineStr">
        <is>
          <t>Champions</t>
        </is>
      </c>
    </row>
    <row r="29">
      <c r="A29" s="17" t="n">
        <v>88038</v>
      </c>
      <c r="B29" s="18" t="inlineStr">
        <is>
          <t>Sharon Nelson</t>
        </is>
      </c>
      <c r="C29" s="18" t="inlineStr">
        <is>
          <t>United States</t>
        </is>
      </c>
      <c r="D29" s="18" t="inlineStr">
        <is>
          <t>North America</t>
        </is>
      </c>
      <c r="E29" s="19" t="n">
        <v>140097.54</v>
      </c>
      <c r="F29" s="21" t="n">
        <v>77</v>
      </c>
      <c r="G29" s="18" t="inlineStr">
        <is>
          <t>Champions</t>
        </is>
      </c>
    </row>
    <row r="30">
      <c r="A30" s="12" t="n">
        <v>42895</v>
      </c>
      <c r="B30" s="13" t="inlineStr">
        <is>
          <t>Natalie Hall</t>
        </is>
      </c>
      <c r="C30" s="13" t="inlineStr">
        <is>
          <t>United Kingdom</t>
        </is>
      </c>
      <c r="D30" s="13" t="inlineStr">
        <is>
          <t>Europe</t>
        </is>
      </c>
      <c r="E30" s="14" t="n">
        <v>136725.94</v>
      </c>
      <c r="F30" s="16" t="n">
        <v>69</v>
      </c>
      <c r="G30" s="13" t="inlineStr">
        <is>
          <t>Champions</t>
        </is>
      </c>
    </row>
    <row r="31">
      <c r="A31" s="17" t="n">
        <v>60880</v>
      </c>
      <c r="B31" s="18" t="inlineStr">
        <is>
          <t>Aria Stewart</t>
        </is>
      </c>
      <c r="C31" s="18" t="inlineStr">
        <is>
          <t>Canada</t>
        </is>
      </c>
      <c r="D31" s="18" t="inlineStr">
        <is>
          <t>North America</t>
        </is>
      </c>
      <c r="E31" s="19" t="n">
        <v>134686.61</v>
      </c>
      <c r="F31" s="21" t="n">
        <v>75</v>
      </c>
      <c r="G31" s="18" t="inlineStr">
        <is>
          <t>Champions</t>
        </is>
      </c>
    </row>
    <row r="32">
      <c r="A32" s="12" t="n">
        <v>13591</v>
      </c>
      <c r="B32" s="13" t="inlineStr">
        <is>
          <t>Jerry Patel</t>
        </is>
      </c>
      <c r="C32" s="13" t="inlineStr">
        <is>
          <t>Brazil</t>
        </is>
      </c>
      <c r="D32" s="13" t="inlineStr">
        <is>
          <t>Latin America</t>
        </is>
      </c>
      <c r="E32" s="14" t="n">
        <v>133166.05</v>
      </c>
      <c r="F32" s="16" t="n">
        <v>68</v>
      </c>
      <c r="G32" s="13" t="inlineStr">
        <is>
          <t>Champions</t>
        </is>
      </c>
    </row>
    <row r="33">
      <c r="A33" s="17" t="n">
        <v>95894</v>
      </c>
      <c r="B33" s="18" t="inlineStr">
        <is>
          <t>Aanya Thompson</t>
        </is>
      </c>
      <c r="C33" s="18" t="inlineStr">
        <is>
          <t>United States</t>
        </is>
      </c>
      <c r="D33" s="18" t="inlineStr">
        <is>
          <t>North America</t>
        </is>
      </c>
      <c r="E33" s="19" t="n">
        <v>132122.1</v>
      </c>
      <c r="F33" s="21" t="n">
        <v>66</v>
      </c>
      <c r="G33" s="18" t="inlineStr">
        <is>
          <t>Champions</t>
        </is>
      </c>
    </row>
    <row r="34">
      <c r="A34" s="12" t="n">
        <v>47866</v>
      </c>
      <c r="B34" s="13" t="inlineStr">
        <is>
          <t>Christina Morales</t>
        </is>
      </c>
      <c r="C34" s="13" t="inlineStr">
        <is>
          <t>United States</t>
        </is>
      </c>
      <c r="D34" s="13" t="inlineStr">
        <is>
          <t>North America</t>
        </is>
      </c>
      <c r="E34" s="14" t="n">
        <v>131899.66</v>
      </c>
      <c r="F34" s="16" t="n">
        <v>56</v>
      </c>
      <c r="G34" s="13" t="inlineStr">
        <is>
          <t>Champions</t>
        </is>
      </c>
    </row>
    <row r="35">
      <c r="A35" s="17" t="n">
        <v>69473</v>
      </c>
      <c r="B35" s="18" t="inlineStr">
        <is>
          <t>Jesse Allen</t>
        </is>
      </c>
      <c r="C35" s="18" t="inlineStr">
        <is>
          <t>United States</t>
        </is>
      </c>
      <c r="D35" s="18" t="inlineStr">
        <is>
          <t>North America</t>
        </is>
      </c>
      <c r="E35" s="19" t="n">
        <v>130936.37</v>
      </c>
      <c r="F35" s="21" t="n">
        <v>68</v>
      </c>
      <c r="G35" s="18" t="inlineStr">
        <is>
          <t>Champions</t>
        </is>
      </c>
    </row>
    <row r="36">
      <c r="A36" s="12" t="n">
        <v>90595</v>
      </c>
      <c r="B36" s="13" t="inlineStr">
        <is>
          <t>Alice Scott</t>
        </is>
      </c>
      <c r="C36" s="13" t="inlineStr">
        <is>
          <t>United Kingdom</t>
        </is>
      </c>
      <c r="D36" s="13" t="inlineStr">
        <is>
          <t>Europe</t>
        </is>
      </c>
      <c r="E36" s="14" t="n">
        <v>128841.31</v>
      </c>
      <c r="F36" s="16" t="n">
        <v>63</v>
      </c>
      <c r="G36" s="13" t="inlineStr">
        <is>
          <t>Champions</t>
        </is>
      </c>
    </row>
    <row r="37">
      <c r="A37" s="17" t="n">
        <v>54605</v>
      </c>
      <c r="B37" s="18" t="inlineStr">
        <is>
          <t>Justin Williams</t>
        </is>
      </c>
      <c r="C37" s="18" t="inlineStr">
        <is>
          <t>United States</t>
        </is>
      </c>
      <c r="D37" s="18" t="inlineStr">
        <is>
          <t>North America</t>
        </is>
      </c>
      <c r="E37" s="19" t="n">
        <v>127922.52</v>
      </c>
      <c r="F37" s="21" t="n">
        <v>72</v>
      </c>
      <c r="G37" s="18" t="inlineStr">
        <is>
          <t>Champions</t>
        </is>
      </c>
    </row>
    <row r="38">
      <c r="A38" s="12" t="n">
        <v>37322</v>
      </c>
      <c r="B38" s="13" t="inlineStr">
        <is>
          <t>Bradley Green</t>
        </is>
      </c>
      <c r="C38" s="13" t="inlineStr">
        <is>
          <t>United States</t>
        </is>
      </c>
      <c r="D38" s="13" t="inlineStr">
        <is>
          <t>North America</t>
        </is>
      </c>
      <c r="E38" s="14" t="n">
        <v>127562.32</v>
      </c>
      <c r="F38" s="16" t="n">
        <v>59</v>
      </c>
      <c r="G38" s="13" t="inlineStr">
        <is>
          <t>Champions</t>
        </is>
      </c>
    </row>
    <row r="39">
      <c r="A39" s="17" t="n">
        <v>30702</v>
      </c>
      <c r="B39" s="18" t="inlineStr">
        <is>
          <t>Teresa Gonzalez</t>
        </is>
      </c>
      <c r="C39" s="18" t="inlineStr">
        <is>
          <t>Germany</t>
        </is>
      </c>
      <c r="D39" s="18" t="inlineStr">
        <is>
          <t>Europe</t>
        </is>
      </c>
      <c r="E39" s="19" t="n">
        <v>127550.76</v>
      </c>
      <c r="F39" s="21" t="n">
        <v>71</v>
      </c>
      <c r="G39" s="18" t="inlineStr">
        <is>
          <t>Champions</t>
        </is>
      </c>
    </row>
    <row r="40">
      <c r="A40" s="12" t="n">
        <v>64284</v>
      </c>
      <c r="B40" s="13" t="inlineStr">
        <is>
          <t>Riya Gutierrez</t>
        </is>
      </c>
      <c r="C40" s="13" t="inlineStr">
        <is>
          <t>United Kingdom</t>
        </is>
      </c>
      <c r="D40" s="13" t="inlineStr">
        <is>
          <t>Europe</t>
        </is>
      </c>
      <c r="E40" s="14" t="n">
        <v>124938.57</v>
      </c>
      <c r="F40" s="16" t="n">
        <v>56</v>
      </c>
      <c r="G40" s="13" t="inlineStr">
        <is>
          <t>Champions</t>
        </is>
      </c>
    </row>
    <row r="41">
      <c r="A41" s="17" t="n">
        <v>72520</v>
      </c>
      <c r="B41" s="18" t="inlineStr">
        <is>
          <t>Patricia Evans</t>
        </is>
      </c>
      <c r="C41" s="18" t="inlineStr">
        <is>
          <t>Australia</t>
        </is>
      </c>
      <c r="D41" s="18" t="inlineStr">
        <is>
          <t>Asia-Pacific</t>
        </is>
      </c>
      <c r="E41" s="19" t="n">
        <v>124803.32</v>
      </c>
      <c r="F41" s="21" t="n">
        <v>63</v>
      </c>
      <c r="G41" s="18" t="inlineStr">
        <is>
          <t>Champions</t>
        </is>
      </c>
    </row>
    <row r="42">
      <c r="A42" s="12" t="n">
        <v>59662</v>
      </c>
      <c r="B42" s="13" t="inlineStr">
        <is>
          <t>Betty Becker</t>
        </is>
      </c>
      <c r="C42" s="13" t="inlineStr">
        <is>
          <t>United States</t>
        </is>
      </c>
      <c r="D42" s="13" t="inlineStr">
        <is>
          <t>North America</t>
        </is>
      </c>
      <c r="E42" s="14" t="n">
        <v>122796.69</v>
      </c>
      <c r="F42" s="16" t="n">
        <v>58</v>
      </c>
      <c r="G42" s="13" t="inlineStr">
        <is>
          <t>Champions</t>
        </is>
      </c>
    </row>
    <row r="43">
      <c r="A43" s="17" t="n">
        <v>33387</v>
      </c>
      <c r="B43" s="18" t="inlineStr">
        <is>
          <t>Noah Gomez</t>
        </is>
      </c>
      <c r="C43" s="18" t="inlineStr">
        <is>
          <t>France</t>
        </is>
      </c>
      <c r="D43" s="18" t="inlineStr">
        <is>
          <t>Europe</t>
        </is>
      </c>
      <c r="E43" s="19" t="n">
        <v>119495.49</v>
      </c>
      <c r="F43" s="21" t="n">
        <v>69</v>
      </c>
      <c r="G43" s="18" t="inlineStr">
        <is>
          <t>Champions</t>
        </is>
      </c>
    </row>
    <row r="44">
      <c r="A44" s="12" t="n">
        <v>35519</v>
      </c>
      <c r="B44" s="13" t="inlineStr">
        <is>
          <t>Sai Singh</t>
        </is>
      </c>
      <c r="C44" s="13" t="inlineStr">
        <is>
          <t>United States</t>
        </is>
      </c>
      <c r="D44" s="13" t="inlineStr">
        <is>
          <t>North America</t>
        </is>
      </c>
      <c r="E44" s="14" t="n">
        <v>119157.42</v>
      </c>
      <c r="F44" s="16" t="n">
        <v>53</v>
      </c>
      <c r="G44" s="13" t="inlineStr">
        <is>
          <t>Champions</t>
        </is>
      </c>
    </row>
    <row r="45">
      <c r="A45" s="17" t="n">
        <v>23413</v>
      </c>
      <c r="B45" s="18" t="inlineStr">
        <is>
          <t>Leah Hernandez</t>
        </is>
      </c>
      <c r="C45" s="18" t="inlineStr">
        <is>
          <t>United Kingdom</t>
        </is>
      </c>
      <c r="D45" s="18" t="inlineStr">
        <is>
          <t>Europe</t>
        </is>
      </c>
      <c r="E45" s="19" t="n">
        <v>118641.73</v>
      </c>
      <c r="F45" s="21" t="n">
        <v>70</v>
      </c>
      <c r="G45" s="18" t="inlineStr">
        <is>
          <t>Champions</t>
        </is>
      </c>
    </row>
    <row r="46">
      <c r="A46" s="12" t="n">
        <v>66345</v>
      </c>
      <c r="B46" s="13" t="inlineStr">
        <is>
          <t>Kenneth Murphy</t>
        </is>
      </c>
      <c r="C46" s="13" t="inlineStr">
        <is>
          <t>United States</t>
        </is>
      </c>
      <c r="D46" s="13" t="inlineStr">
        <is>
          <t>North America</t>
        </is>
      </c>
      <c r="E46" s="14" t="n">
        <v>117611.94</v>
      </c>
      <c r="F46" s="16" t="n">
        <v>71</v>
      </c>
      <c r="G46" s="13" t="inlineStr">
        <is>
          <t>Champions</t>
        </is>
      </c>
    </row>
    <row r="47">
      <c r="A47" s="17" t="n">
        <v>49525</v>
      </c>
      <c r="B47" s="18" t="inlineStr">
        <is>
          <t>Kabir Carter</t>
        </is>
      </c>
      <c r="C47" s="18" t="inlineStr">
        <is>
          <t>United States</t>
        </is>
      </c>
      <c r="D47" s="18" t="inlineStr">
        <is>
          <t>North America</t>
        </is>
      </c>
      <c r="E47" s="19" t="n">
        <v>116162.55</v>
      </c>
      <c r="F47" s="21" t="n">
        <v>62</v>
      </c>
      <c r="G47" s="18" t="inlineStr">
        <is>
          <t>Champions</t>
        </is>
      </c>
    </row>
    <row r="48">
      <c r="A48" s="12" t="n">
        <v>56894</v>
      </c>
      <c r="B48" s="13" t="inlineStr">
        <is>
          <t>Kathryn Campbell</t>
        </is>
      </c>
      <c r="C48" s="13" t="inlineStr">
        <is>
          <t>Canada</t>
        </is>
      </c>
      <c r="D48" s="13" t="inlineStr">
        <is>
          <t>North America</t>
        </is>
      </c>
      <c r="E48" s="14" t="n">
        <v>116113.06</v>
      </c>
      <c r="F48" s="16" t="n">
        <v>52</v>
      </c>
      <c r="G48" s="13" t="inlineStr">
        <is>
          <t>Champions</t>
        </is>
      </c>
    </row>
    <row r="49">
      <c r="A49" s="17" t="n">
        <v>79902</v>
      </c>
      <c r="B49" s="18" t="inlineStr">
        <is>
          <t>Sharon Campbell</t>
        </is>
      </c>
      <c r="C49" s="18" t="inlineStr">
        <is>
          <t>United States</t>
        </is>
      </c>
      <c r="D49" s="18" t="inlineStr">
        <is>
          <t>North America</t>
        </is>
      </c>
      <c r="E49" s="19" t="n">
        <v>115970.46</v>
      </c>
      <c r="F49" s="21" t="n">
        <v>55</v>
      </c>
      <c r="G49" s="18" t="inlineStr">
        <is>
          <t>Champions</t>
        </is>
      </c>
    </row>
    <row r="50">
      <c r="A50" s="12" t="n">
        <v>5119</v>
      </c>
      <c r="B50" s="13" t="inlineStr">
        <is>
          <t>Jacob Gutierrez</t>
        </is>
      </c>
      <c r="C50" s="13" t="inlineStr">
        <is>
          <t>Germany</t>
        </is>
      </c>
      <c r="D50" s="13" t="inlineStr">
        <is>
          <t>Europe</t>
        </is>
      </c>
      <c r="E50" s="14" t="n">
        <v>115242.63</v>
      </c>
      <c r="F50" s="16" t="n">
        <v>66</v>
      </c>
      <c r="G50" s="13" t="inlineStr">
        <is>
          <t>Champions</t>
        </is>
      </c>
    </row>
    <row r="51">
      <c r="A51" s="17" t="n">
        <v>38673</v>
      </c>
      <c r="B51" s="18" t="inlineStr">
        <is>
          <t>Hannah Harris</t>
        </is>
      </c>
      <c r="C51" s="18" t="inlineStr">
        <is>
          <t>Germany</t>
        </is>
      </c>
      <c r="D51" s="18" t="inlineStr">
        <is>
          <t>Europe</t>
        </is>
      </c>
      <c r="E51" s="19" t="n">
        <v>114909.79</v>
      </c>
      <c r="F51" s="21" t="n">
        <v>59</v>
      </c>
      <c r="G51" s="18" t="inlineStr">
        <is>
          <t>Champions</t>
        </is>
      </c>
    </row>
    <row r="52">
      <c r="A52" s="12" t="n">
        <v>51383</v>
      </c>
      <c r="B52" s="13" t="inlineStr">
        <is>
          <t>Edward Turner</t>
        </is>
      </c>
      <c r="C52" s="13" t="inlineStr">
        <is>
          <t>Canada</t>
        </is>
      </c>
      <c r="D52" s="13" t="inlineStr">
        <is>
          <t>North America</t>
        </is>
      </c>
      <c r="E52" s="14" t="n">
        <v>114787</v>
      </c>
      <c r="F52" s="16" t="n">
        <v>64</v>
      </c>
      <c r="G52" s="13" t="inlineStr">
        <is>
          <t>Champions</t>
        </is>
      </c>
    </row>
    <row r="53">
      <c r="A53" s="17" t="n">
        <v>35365</v>
      </c>
      <c r="B53" s="18" t="inlineStr">
        <is>
          <t>Joyce Phillips</t>
        </is>
      </c>
      <c r="C53" s="18" t="inlineStr">
        <is>
          <t>United States</t>
        </is>
      </c>
      <c r="D53" s="18" t="inlineStr">
        <is>
          <t>North America</t>
        </is>
      </c>
      <c r="E53" s="19" t="n">
        <v>114642.31</v>
      </c>
      <c r="F53" s="21" t="n">
        <v>63</v>
      </c>
      <c r="G53" s="18" t="inlineStr">
        <is>
          <t>Champions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4" customWidth="1" min="4" max="4"/>
    <col width="13" customWidth="1" min="5" max="5"/>
    <col width="13" customWidth="1" min="6" max="6"/>
    <col width="16" customWidth="1" min="7" max="7"/>
    <col width="15" customWidth="1" min="8" max="8"/>
    <col width="17" customWidth="1" min="9" max="9"/>
  </cols>
  <sheetData>
    <row r="1">
      <c r="A1" s="8" t="inlineStr">
        <is>
          <t>Top 25 Revenue-Generating Products &amp; Margin Performance</t>
        </is>
      </c>
    </row>
    <row r="2"/>
    <row r="3">
      <c r="A3" s="29" t="inlineStr">
        <is>
          <t>ProductID</t>
        </is>
      </c>
      <c r="B3" s="29" t="inlineStr">
        <is>
          <t>Product Name</t>
        </is>
      </c>
      <c r="C3" s="29" t="inlineStr">
        <is>
          <t>Brand</t>
        </is>
      </c>
      <c r="D3" s="29" t="inlineStr">
        <is>
          <t>Category</t>
        </is>
      </c>
      <c r="E3" s="29" t="inlineStr">
        <is>
          <t>Unit Price</t>
        </is>
      </c>
      <c r="F3" s="29" t="inlineStr">
        <is>
          <t>Units Sold</t>
        </is>
      </c>
      <c r="G3" s="29" t="inlineStr">
        <is>
          <t>Total Revenue</t>
        </is>
      </c>
      <c r="H3" s="29" t="inlineStr">
        <is>
          <t>Total Profit</t>
        </is>
      </c>
      <c r="I3" s="29" t="inlineStr">
        <is>
          <t>Gross Margin %</t>
        </is>
      </c>
    </row>
    <row r="4">
      <c r="A4" s="12" t="n">
        <v>104</v>
      </c>
      <c r="B4" s="13" t="inlineStr">
        <is>
          <t>Asus Mechanical Keyboard Plus - Model 104</t>
        </is>
      </c>
      <c r="C4" s="13" t="inlineStr">
        <is>
          <t>Asus</t>
        </is>
      </c>
      <c r="D4" s="13" t="inlineStr">
        <is>
          <t>Electronics</t>
        </is>
      </c>
      <c r="E4" s="14" t="n">
        <v>1320.99</v>
      </c>
      <c r="F4" s="16" t="n">
        <v>2914</v>
      </c>
      <c r="G4" s="14" t="n">
        <v>3534637.11</v>
      </c>
      <c r="H4" s="14" t="n">
        <v>848074.8100000001</v>
      </c>
      <c r="I4" s="26">
        <f>IFERROR(H4/G4, 0)</f>
        <v/>
      </c>
    </row>
    <row r="5">
      <c r="A5" s="17" t="n">
        <v>170</v>
      </c>
      <c r="B5" s="18" t="inlineStr">
        <is>
          <t>Bose Fast Wireless Charger Plus - Model 170</t>
        </is>
      </c>
      <c r="C5" s="18" t="inlineStr">
        <is>
          <t>Bose</t>
        </is>
      </c>
      <c r="D5" s="18" t="inlineStr">
        <is>
          <t>Electronics</t>
        </is>
      </c>
      <c r="E5" s="19" t="n">
        <v>1425.99</v>
      </c>
      <c r="F5" s="21" t="n">
        <v>2628</v>
      </c>
      <c r="G5" s="19" t="n">
        <v>3460305.6</v>
      </c>
      <c r="H5" s="19" t="n">
        <v>1076341.68</v>
      </c>
      <c r="I5" s="27">
        <f>IFERROR(H5/G5, 0)</f>
        <v/>
      </c>
    </row>
    <row r="6">
      <c r="A6" s="12" t="n">
        <v>24</v>
      </c>
      <c r="B6" s="13" t="inlineStr">
        <is>
          <t>Bose Gaming Mouse Pro - Model 24</t>
        </is>
      </c>
      <c r="C6" s="13" t="inlineStr">
        <is>
          <t>Bose</t>
        </is>
      </c>
      <c r="D6" s="13" t="inlineStr">
        <is>
          <t>Electronics</t>
        </is>
      </c>
      <c r="E6" s="14" t="n">
        <v>1359.99</v>
      </c>
      <c r="F6" s="16" t="n">
        <v>2695</v>
      </c>
      <c r="G6" s="14" t="n">
        <v>3371549.48</v>
      </c>
      <c r="H6" s="14" t="n">
        <v>1073415.18</v>
      </c>
      <c r="I6" s="26">
        <f>IFERROR(H6/G6, 0)</f>
        <v/>
      </c>
    </row>
    <row r="7">
      <c r="A7" s="17" t="n">
        <v>100</v>
      </c>
      <c r="B7" s="18" t="inlineStr">
        <is>
          <t>VeyraTech External SSD 1TB Ultra - Model 100</t>
        </is>
      </c>
      <c r="C7" s="18" t="inlineStr">
        <is>
          <t>VeyraTech</t>
        </is>
      </c>
      <c r="D7" s="18" t="inlineStr">
        <is>
          <t>Electronics</t>
        </is>
      </c>
      <c r="E7" s="19" t="n">
        <v>1351.99</v>
      </c>
      <c r="F7" s="21" t="n">
        <v>2688</v>
      </c>
      <c r="G7" s="19" t="n">
        <v>3355299.43</v>
      </c>
      <c r="H7" s="19" t="n">
        <v>894892.39</v>
      </c>
      <c r="I7" s="27">
        <f>IFERROR(H7/G7, 0)</f>
        <v/>
      </c>
    </row>
    <row r="8">
      <c r="A8" s="12" t="n">
        <v>143</v>
      </c>
      <c r="B8" s="13" t="inlineStr">
        <is>
          <t>Sony Smartwatch Ultra Classic - Model 143</t>
        </is>
      </c>
      <c r="C8" s="13" t="inlineStr">
        <is>
          <t>Sony</t>
        </is>
      </c>
      <c r="D8" s="13" t="inlineStr">
        <is>
          <t>Electronics</t>
        </is>
      </c>
      <c r="E8" s="14" t="n">
        <v>1370.99</v>
      </c>
      <c r="F8" s="16" t="n">
        <v>2632</v>
      </c>
      <c r="G8" s="14" t="n">
        <v>3328899.07</v>
      </c>
      <c r="H8" s="14" t="n">
        <v>977417.63</v>
      </c>
      <c r="I8" s="26">
        <f>IFERROR(H8/G8, 0)</f>
        <v/>
      </c>
    </row>
    <row r="9">
      <c r="A9" s="17" t="n">
        <v>178</v>
      </c>
      <c r="B9" s="18" t="inlineStr">
        <is>
          <t>LG External SSD 1TB Plus - Model 178</t>
        </is>
      </c>
      <c r="C9" s="18" t="inlineStr">
        <is>
          <t>LG</t>
        </is>
      </c>
      <c r="D9" s="18" t="inlineStr">
        <is>
          <t>Electronics</t>
        </is>
      </c>
      <c r="E9" s="19" t="n">
        <v>1327.99</v>
      </c>
      <c r="F9" s="21" t="n">
        <v>2686</v>
      </c>
      <c r="G9" s="19" t="n">
        <v>3287238.27</v>
      </c>
      <c r="H9" s="19" t="n">
        <v>754179.11</v>
      </c>
      <c r="I9" s="27">
        <f>IFERROR(H9/G9, 0)</f>
        <v/>
      </c>
    </row>
    <row r="10">
      <c r="A10" s="12" t="n">
        <v>182</v>
      </c>
      <c r="B10" s="13" t="inlineStr">
        <is>
          <t>Samsung 4K OLED Monitor Signature - Model 182</t>
        </is>
      </c>
      <c r="C10" s="13" t="inlineStr">
        <is>
          <t>Samsung</t>
        </is>
      </c>
      <c r="D10" s="13" t="inlineStr">
        <is>
          <t>Electronics</t>
        </is>
      </c>
      <c r="E10" s="14" t="n">
        <v>1353.99</v>
      </c>
      <c r="F10" s="16" t="n">
        <v>2630</v>
      </c>
      <c r="G10" s="14" t="n">
        <v>3280512.86</v>
      </c>
      <c r="H10" s="14" t="n">
        <v>1037017.66</v>
      </c>
      <c r="I10" s="26">
        <f>IFERROR(H10/G10, 0)</f>
        <v/>
      </c>
    </row>
    <row r="11">
      <c r="A11" s="17" t="n">
        <v>101</v>
      </c>
      <c r="B11" s="18" t="inlineStr">
        <is>
          <t>LG Portable Bluetooth Speaker Elite - Model 101</t>
        </is>
      </c>
      <c r="C11" s="18" t="inlineStr">
        <is>
          <t>LG</t>
        </is>
      </c>
      <c r="D11" s="18" t="inlineStr">
        <is>
          <t>Electronics</t>
        </is>
      </c>
      <c r="E11" s="19" t="n">
        <v>1322.99</v>
      </c>
      <c r="F11" s="21" t="n">
        <v>2682</v>
      </c>
      <c r="G11" s="19" t="n">
        <v>3270429.47</v>
      </c>
      <c r="H11" s="19" t="n">
        <v>945645.05</v>
      </c>
      <c r="I11" s="27">
        <f>IFERROR(H11/G11, 0)</f>
        <v/>
      </c>
    </row>
    <row r="12">
      <c r="A12" s="12" t="n">
        <v>23</v>
      </c>
      <c r="B12" s="13" t="inlineStr">
        <is>
          <t>Logitech Smartphone 5G Ultra - Model 23</t>
        </is>
      </c>
      <c r="C12" s="13" t="inlineStr">
        <is>
          <t>Logitech</t>
        </is>
      </c>
      <c r="D12" s="13" t="inlineStr">
        <is>
          <t>Electronics</t>
        </is>
      </c>
      <c r="E12" s="14" t="n">
        <v>1369.99</v>
      </c>
      <c r="F12" s="16" t="n">
        <v>2599</v>
      </c>
      <c r="G12" s="14" t="n">
        <v>3269205.37</v>
      </c>
      <c r="H12" s="14" t="n">
        <v>869444.71</v>
      </c>
      <c r="I12" s="26">
        <f>IFERROR(H12/G12, 0)</f>
        <v/>
      </c>
    </row>
    <row r="13">
      <c r="A13" s="17" t="n">
        <v>191</v>
      </c>
      <c r="B13" s="18" t="inlineStr">
        <is>
          <t>Apple Webcam 4K HD Essential - Model 191</t>
        </is>
      </c>
      <c r="C13" s="18" t="inlineStr">
        <is>
          <t>Apple</t>
        </is>
      </c>
      <c r="D13" s="18" t="inlineStr">
        <is>
          <t>Electronics</t>
        </is>
      </c>
      <c r="E13" s="19" t="n">
        <v>1315.99</v>
      </c>
      <c r="F13" s="21" t="n">
        <v>2650</v>
      </c>
      <c r="G13" s="19" t="n">
        <v>3218186</v>
      </c>
      <c r="H13" s="19" t="n">
        <v>853061</v>
      </c>
      <c r="I13" s="27">
        <f>IFERROR(H13/G13, 0)</f>
        <v/>
      </c>
    </row>
    <row r="14">
      <c r="A14" s="12" t="n">
        <v>32</v>
      </c>
      <c r="B14" s="13" t="inlineStr">
        <is>
          <t>LG 4K OLED Monitor Studio - Model 32</t>
        </is>
      </c>
      <c r="C14" s="13" t="inlineStr">
        <is>
          <t>LG</t>
        </is>
      </c>
      <c r="D14" s="13" t="inlineStr">
        <is>
          <t>Electronics</t>
        </is>
      </c>
      <c r="E14" s="14" t="n">
        <v>1290.99</v>
      </c>
      <c r="F14" s="16" t="n">
        <v>2660</v>
      </c>
      <c r="G14" s="14" t="n">
        <v>3170540.66</v>
      </c>
      <c r="H14" s="14" t="n">
        <v>722196.86</v>
      </c>
      <c r="I14" s="26">
        <f>IFERROR(H14/G14, 0)</f>
        <v/>
      </c>
    </row>
    <row r="15">
      <c r="A15" s="17" t="n">
        <v>46</v>
      </c>
      <c r="B15" s="18" t="inlineStr">
        <is>
          <t>Logitech Wireless Earbuds Elite - Model 46</t>
        </is>
      </c>
      <c r="C15" s="18" t="inlineStr">
        <is>
          <t>Logitech</t>
        </is>
      </c>
      <c r="D15" s="18" t="inlineStr">
        <is>
          <t>Electronics</t>
        </is>
      </c>
      <c r="E15" s="19" t="n">
        <v>1204.99</v>
      </c>
      <c r="F15" s="21" t="n">
        <v>2838</v>
      </c>
      <c r="G15" s="19" t="n">
        <v>3163759.72</v>
      </c>
      <c r="H15" s="19" t="n">
        <v>971858.8</v>
      </c>
      <c r="I15" s="27">
        <f>IFERROR(H15/G15, 0)</f>
        <v/>
      </c>
    </row>
    <row r="16">
      <c r="A16" s="12" t="n">
        <v>181</v>
      </c>
      <c r="B16" s="13" t="inlineStr">
        <is>
          <t>Logitech Noise Cancelling Headphones Pro - Model 181</t>
        </is>
      </c>
      <c r="C16" s="13" t="inlineStr">
        <is>
          <t>Logitech</t>
        </is>
      </c>
      <c r="D16" s="13" t="inlineStr">
        <is>
          <t>Electronics</t>
        </is>
      </c>
      <c r="E16" s="14" t="n">
        <v>1229.99</v>
      </c>
      <c r="F16" s="16" t="n">
        <v>2785</v>
      </c>
      <c r="G16" s="14" t="n">
        <v>3154246.05</v>
      </c>
      <c r="H16" s="14" t="n">
        <v>785269.35</v>
      </c>
      <c r="I16" s="26">
        <f>IFERROR(H16/G16, 0)</f>
        <v/>
      </c>
    </row>
    <row r="17">
      <c r="A17" s="17" t="n">
        <v>12</v>
      </c>
      <c r="B17" s="18" t="inlineStr">
        <is>
          <t>LG Smartphone 5G Plus - Model 12</t>
        </is>
      </c>
      <c r="C17" s="18" t="inlineStr">
        <is>
          <t>LG</t>
        </is>
      </c>
      <c r="D17" s="18" t="inlineStr">
        <is>
          <t>Electronics</t>
        </is>
      </c>
      <c r="E17" s="19" t="n">
        <v>1285.99</v>
      </c>
      <c r="F17" s="21" t="n">
        <v>2625</v>
      </c>
      <c r="G17" s="19" t="n">
        <v>3112415.62</v>
      </c>
      <c r="H17" s="19" t="n">
        <v>793595.62</v>
      </c>
      <c r="I17" s="27">
        <f>IFERROR(H17/G17, 0)</f>
        <v/>
      </c>
    </row>
    <row r="18">
      <c r="A18" s="12" t="n">
        <v>174</v>
      </c>
      <c r="B18" s="13" t="inlineStr">
        <is>
          <t>Dell External SSD 1TB Signature - Model 174</t>
        </is>
      </c>
      <c r="C18" s="13" t="inlineStr">
        <is>
          <t>Dell</t>
        </is>
      </c>
      <c r="D18" s="13" t="inlineStr">
        <is>
          <t>Electronics</t>
        </is>
      </c>
      <c r="E18" s="14" t="n">
        <v>1221.99</v>
      </c>
      <c r="F18" s="16" t="n">
        <v>2698</v>
      </c>
      <c r="G18" s="14" t="n">
        <v>3045808.35</v>
      </c>
      <c r="H18" s="14" t="n">
        <v>639731.95</v>
      </c>
      <c r="I18" s="26">
        <f>IFERROR(H18/G18, 0)</f>
        <v/>
      </c>
    </row>
    <row r="19">
      <c r="A19" s="17" t="n">
        <v>42</v>
      </c>
      <c r="B19" s="18" t="inlineStr">
        <is>
          <t>LG Portable Bluetooth Speaker Pro - Model 42</t>
        </is>
      </c>
      <c r="C19" s="18" t="inlineStr">
        <is>
          <t>LG</t>
        </is>
      </c>
      <c r="D19" s="18" t="inlineStr">
        <is>
          <t>Electronics</t>
        </is>
      </c>
      <c r="E19" s="19" t="n">
        <v>1222.99</v>
      </c>
      <c r="F19" s="21" t="n">
        <v>2684</v>
      </c>
      <c r="G19" s="19" t="n">
        <v>3033074.58</v>
      </c>
      <c r="H19" s="19" t="n">
        <v>891940.42</v>
      </c>
      <c r="I19" s="27">
        <f>IFERROR(H19/G19, 0)</f>
        <v/>
      </c>
    </row>
    <row r="20">
      <c r="A20" s="12" t="n">
        <v>14</v>
      </c>
      <c r="B20" s="13" t="inlineStr">
        <is>
          <t>Asus External SSD 1TB Max - Model 14</t>
        </is>
      </c>
      <c r="C20" s="13" t="inlineStr">
        <is>
          <t>Asus</t>
        </is>
      </c>
      <c r="D20" s="13" t="inlineStr">
        <is>
          <t>Electronics</t>
        </is>
      </c>
      <c r="E20" s="14" t="n">
        <v>1210.99</v>
      </c>
      <c r="F20" s="16" t="n">
        <v>2712</v>
      </c>
      <c r="G20" s="14" t="n">
        <v>3025232.94</v>
      </c>
      <c r="H20" s="14" t="n">
        <v>886251.42</v>
      </c>
      <c r="I20" s="26">
        <f>IFERROR(H20/G20, 0)</f>
        <v/>
      </c>
    </row>
    <row r="21">
      <c r="A21" s="17" t="n">
        <v>19</v>
      </c>
      <c r="B21" s="18" t="inlineStr">
        <is>
          <t>Asus Smart Home Hub Plus - Model 19</t>
        </is>
      </c>
      <c r="C21" s="18" t="inlineStr">
        <is>
          <t>Asus</t>
        </is>
      </c>
      <c r="D21" s="18" t="inlineStr">
        <is>
          <t>Electronics</t>
        </is>
      </c>
      <c r="E21" s="19" t="n">
        <v>1255.99</v>
      </c>
      <c r="F21" s="21" t="n">
        <v>2592</v>
      </c>
      <c r="G21" s="19" t="n">
        <v>3007529.13</v>
      </c>
      <c r="H21" s="19" t="n">
        <v>951710.25</v>
      </c>
      <c r="I21" s="27">
        <f>IFERROR(H21/G21, 0)</f>
        <v/>
      </c>
    </row>
    <row r="22">
      <c r="A22" s="12" t="n">
        <v>80</v>
      </c>
      <c r="B22" s="13" t="inlineStr">
        <is>
          <t>Asus USB-C Hub Pro Essential - Model 80</t>
        </is>
      </c>
      <c r="C22" s="13" t="inlineStr">
        <is>
          <t>Asus</t>
        </is>
      </c>
      <c r="D22" s="13" t="inlineStr">
        <is>
          <t>Electronics</t>
        </is>
      </c>
      <c r="E22" s="14" t="n">
        <v>1169.99</v>
      </c>
      <c r="F22" s="16" t="n">
        <v>2768</v>
      </c>
      <c r="G22" s="14" t="n">
        <v>2979436.2</v>
      </c>
      <c r="H22" s="14" t="n">
        <v>894163.4</v>
      </c>
      <c r="I22" s="26">
        <f>IFERROR(H22/G22, 0)</f>
        <v/>
      </c>
    </row>
    <row r="23">
      <c r="A23" s="17" t="n">
        <v>6</v>
      </c>
      <c r="B23" s="18" t="inlineStr">
        <is>
          <t>Logitech 4K OLED Monitor Studio - Model 6</t>
        </is>
      </c>
      <c r="C23" s="18" t="inlineStr">
        <is>
          <t>Logitech</t>
        </is>
      </c>
      <c r="D23" s="18" t="inlineStr">
        <is>
          <t>Electronics</t>
        </is>
      </c>
      <c r="E23" s="19" t="n">
        <v>1247.99</v>
      </c>
      <c r="F23" s="21" t="n">
        <v>2580</v>
      </c>
      <c r="G23" s="19" t="n">
        <v>2965846.47</v>
      </c>
      <c r="H23" s="19" t="n">
        <v>572070.87</v>
      </c>
      <c r="I23" s="27">
        <f>IFERROR(H23/G23, 0)</f>
        <v/>
      </c>
    </row>
    <row r="24">
      <c r="A24" s="12" t="n">
        <v>137</v>
      </c>
      <c r="B24" s="13" t="inlineStr">
        <is>
          <t>Bose Smartwatch Ultra Essential - Model 137</t>
        </is>
      </c>
      <c r="C24" s="13" t="inlineStr">
        <is>
          <t>Bose</t>
        </is>
      </c>
      <c r="D24" s="13" t="inlineStr">
        <is>
          <t>Electronics</t>
        </is>
      </c>
      <c r="E24" s="14" t="n">
        <v>1192.99</v>
      </c>
      <c r="F24" s="16" t="n">
        <v>2708</v>
      </c>
      <c r="G24" s="14" t="n">
        <v>2965294.08</v>
      </c>
      <c r="H24" s="14" t="n">
        <v>494812.76</v>
      </c>
      <c r="I24" s="26">
        <f>IFERROR(H24/G24, 0)</f>
        <v/>
      </c>
    </row>
    <row r="25">
      <c r="A25" s="17" t="n">
        <v>194</v>
      </c>
      <c r="B25" s="18" t="inlineStr">
        <is>
          <t>LG Wireless Earbuds Elite - Model 194</t>
        </is>
      </c>
      <c r="C25" s="18" t="inlineStr">
        <is>
          <t>LG</t>
        </is>
      </c>
      <c r="D25" s="18" t="inlineStr">
        <is>
          <t>Electronics</t>
        </is>
      </c>
      <c r="E25" s="19" t="n">
        <v>1187.99</v>
      </c>
      <c r="F25" s="21" t="n">
        <v>2699</v>
      </c>
      <c r="G25" s="19" t="n">
        <v>2955242.17</v>
      </c>
      <c r="H25" s="19" t="n">
        <v>806001.48</v>
      </c>
      <c r="I25" s="27">
        <f>IFERROR(H25/G25, 0)</f>
        <v/>
      </c>
    </row>
    <row r="26">
      <c r="A26" s="12" t="n">
        <v>167</v>
      </c>
      <c r="B26" s="13" t="inlineStr">
        <is>
          <t>Apple Fast Wireless Charger Essential - Model 167</t>
        </is>
      </c>
      <c r="C26" s="13" t="inlineStr">
        <is>
          <t>Apple</t>
        </is>
      </c>
      <c r="D26" s="13" t="inlineStr">
        <is>
          <t>Electronics</t>
        </is>
      </c>
      <c r="E26" s="14" t="n">
        <v>1211.99</v>
      </c>
      <c r="F26" s="16" t="n">
        <v>2641</v>
      </c>
      <c r="G26" s="14" t="n">
        <v>2949194.14</v>
      </c>
      <c r="H26" s="14" t="n">
        <v>849308.63</v>
      </c>
      <c r="I26" s="26">
        <f>IFERROR(H26/G26, 0)</f>
        <v/>
      </c>
    </row>
    <row r="27">
      <c r="A27" s="17" t="n">
        <v>132</v>
      </c>
      <c r="B27" s="18" t="inlineStr">
        <is>
          <t>LG Wireless Earbuds Ultra - Model 132</t>
        </is>
      </c>
      <c r="C27" s="18" t="inlineStr">
        <is>
          <t>LG</t>
        </is>
      </c>
      <c r="D27" s="18" t="inlineStr">
        <is>
          <t>Electronics</t>
        </is>
      </c>
      <c r="E27" s="19" t="n">
        <v>1179.99</v>
      </c>
      <c r="F27" s="21" t="n">
        <v>2696</v>
      </c>
      <c r="G27" s="19" t="n">
        <v>2939884.34</v>
      </c>
      <c r="H27" s="19" t="n">
        <v>562389.78</v>
      </c>
      <c r="I27" s="27">
        <f>IFERROR(H27/G27, 0)</f>
        <v/>
      </c>
    </row>
    <row r="28">
      <c r="A28" s="12" t="n">
        <v>179</v>
      </c>
      <c r="B28" s="13" t="inlineStr">
        <is>
          <t>Anker Smartwatch Ultra Signature - Model 179</t>
        </is>
      </c>
      <c r="C28" s="13" t="inlineStr">
        <is>
          <t>Anker</t>
        </is>
      </c>
      <c r="D28" s="13" t="inlineStr">
        <is>
          <t>Electronics</t>
        </is>
      </c>
      <c r="E28" s="14" t="n">
        <v>1184.99</v>
      </c>
      <c r="F28" s="16" t="n">
        <v>2659</v>
      </c>
      <c r="G28" s="14" t="n">
        <v>2905653.04</v>
      </c>
      <c r="H28" s="14" t="n">
        <v>641700.67</v>
      </c>
      <c r="I28" s="26">
        <f>IFERROR(H28/G28,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4" customWidth="1" min="3" max="3"/>
    <col width="20" customWidth="1" min="4" max="4"/>
    <col width="18" customWidth="1" min="5" max="5"/>
    <col width="23" customWidth="1" min="6" max="6"/>
    <col width="22" customWidth="1" min="7" max="7"/>
    <col width="21" customWidth="1" min="8" max="8"/>
  </cols>
  <sheetData>
    <row r="1">
      <c r="A1" s="8" t="inlineStr">
        <is>
          <t>Customer Segmentation Matrix (RFM Model Quintiles)</t>
        </is>
      </c>
    </row>
    <row r="2"/>
    <row r="3">
      <c r="A3" s="29" t="inlineStr">
        <is>
          <t>RFM Segment</t>
        </is>
      </c>
      <c r="B3" s="29" t="inlineStr">
        <is>
          <t>Customer Count</t>
        </is>
      </c>
      <c r="C3" s="29" t="inlineStr">
        <is>
          <t>% Customers</t>
        </is>
      </c>
      <c r="D3" s="29" t="inlineStr">
        <is>
          <t>Total Revenue ($)</t>
        </is>
      </c>
      <c r="E3" s="29" t="inlineStr">
        <is>
          <t>Revenue Share %</t>
        </is>
      </c>
      <c r="F3" s="29" t="inlineStr">
        <is>
          <t>Avg Spend / Customer</t>
        </is>
      </c>
      <c r="G3" s="29" t="inlineStr">
        <is>
          <t>Avg Order Frequency</t>
        </is>
      </c>
      <c r="H3" s="29" t="inlineStr">
        <is>
          <t>Avg Recency (Days)</t>
        </is>
      </c>
    </row>
    <row r="4">
      <c r="A4" s="30" t="inlineStr">
        <is>
          <t>Champions</t>
        </is>
      </c>
      <c r="B4" s="31" t="n">
        <v>28442</v>
      </c>
      <c r="C4" s="32">
        <f>B4/SUM($B$4:$B$10)</f>
        <v/>
      </c>
      <c r="D4" s="33" t="n">
        <v>683656615.8</v>
      </c>
      <c r="E4" s="32">
        <f>D4/SUM($D$4:$D$10)</f>
        <v/>
      </c>
      <c r="F4" s="33">
        <f>IFERROR(D4/B4, 0)</f>
        <v/>
      </c>
      <c r="G4" s="34" t="n">
        <v>12.63</v>
      </c>
      <c r="H4" s="35" t="n">
        <v>42.1</v>
      </c>
    </row>
    <row r="5">
      <c r="A5" s="36" t="inlineStr">
        <is>
          <t>Loyal Customers</t>
        </is>
      </c>
      <c r="B5" s="37" t="n">
        <v>22418</v>
      </c>
      <c r="C5" s="38">
        <f>B5/SUM($B$4:$B$10)</f>
        <v/>
      </c>
      <c r="D5" s="39" t="n">
        <v>184032351.61</v>
      </c>
      <c r="E5" s="38">
        <f>D5/SUM($D$4:$D$10)</f>
        <v/>
      </c>
      <c r="F5" s="39">
        <f>IFERROR(D5/B5, 0)</f>
        <v/>
      </c>
      <c r="G5" s="40" t="n">
        <v>4.39</v>
      </c>
      <c r="H5" s="41" t="n">
        <v>228</v>
      </c>
    </row>
    <row r="6">
      <c r="A6" s="30" t="inlineStr">
        <is>
          <t>At Risk</t>
        </is>
      </c>
      <c r="B6" s="31" t="n">
        <v>5239</v>
      </c>
      <c r="C6" s="32">
        <f>B6/SUM($B$4:$B$10)</f>
        <v/>
      </c>
      <c r="D6" s="33" t="n">
        <v>23976500.13</v>
      </c>
      <c r="E6" s="32">
        <f>D6/SUM($D$4:$D$10)</f>
        <v/>
      </c>
      <c r="F6" s="33">
        <f>IFERROR(D6/B6, 0)</f>
        <v/>
      </c>
      <c r="G6" s="34" t="n">
        <v>2.56</v>
      </c>
      <c r="H6" s="35" t="n">
        <v>5830.4</v>
      </c>
    </row>
    <row r="7">
      <c r="A7" s="36" t="inlineStr">
        <is>
          <t>Cannot Lose Them</t>
        </is>
      </c>
      <c r="B7" s="37" t="n">
        <v>1460</v>
      </c>
      <c r="C7" s="38">
        <f>B7/SUM($B$4:$B$10)</f>
        <v/>
      </c>
      <c r="D7" s="39" t="n">
        <v>19817935.23</v>
      </c>
      <c r="E7" s="38">
        <f>D7/SUM($D$4:$D$10)</f>
        <v/>
      </c>
      <c r="F7" s="39">
        <f>IFERROR(D7/B7, 0)</f>
        <v/>
      </c>
      <c r="G7" s="40" t="n">
        <v>6.73</v>
      </c>
      <c r="H7" s="41" t="n">
        <v>3439.7</v>
      </c>
    </row>
    <row r="8">
      <c r="A8" s="30" t="inlineStr">
        <is>
          <t>Need Attention</t>
        </is>
      </c>
      <c r="B8" s="31" t="n">
        <v>12890</v>
      </c>
      <c r="C8" s="32">
        <f>B8/SUM($B$4:$B$10)</f>
        <v/>
      </c>
      <c r="D8" s="33" t="n">
        <v>12319542.79</v>
      </c>
      <c r="E8" s="32">
        <f>D8/SUM($D$4:$D$10)</f>
        <v/>
      </c>
      <c r="F8" s="33">
        <f>IFERROR(D8/B8, 0)</f>
        <v/>
      </c>
      <c r="G8" s="34" t="n">
        <v>0.64</v>
      </c>
      <c r="H8" s="35" t="n">
        <v>723.2</v>
      </c>
    </row>
    <row r="9">
      <c r="A9" s="36" t="inlineStr">
        <is>
          <t>Lost Customers</t>
        </is>
      </c>
      <c r="B9" s="37" t="n">
        <v>26311</v>
      </c>
      <c r="C9" s="38">
        <f>B9/SUM($B$4:$B$10)</f>
        <v/>
      </c>
      <c r="D9" s="39" t="n">
        <v>11841135.12</v>
      </c>
      <c r="E9" s="38">
        <f>D9/SUM($D$4:$D$10)</f>
        <v/>
      </c>
      <c r="F9" s="39">
        <f>IFERROR(D9/B9, 0)</f>
        <v/>
      </c>
      <c r="G9" s="40" t="n">
        <v>0.24</v>
      </c>
      <c r="H9" s="41" t="n">
        <v>3101.7</v>
      </c>
    </row>
    <row r="10">
      <c r="A10" s="30" t="inlineStr">
        <is>
          <t>Potential Loyalists</t>
        </is>
      </c>
      <c r="B10" s="31" t="n">
        <v>3240</v>
      </c>
      <c r="C10" s="32">
        <f>B10/SUM($B$4:$B$10)</f>
        <v/>
      </c>
      <c r="D10" s="33" t="n">
        <v>5986420.26</v>
      </c>
      <c r="E10" s="32">
        <f>D10/SUM($D$4:$D$10)</f>
        <v/>
      </c>
      <c r="F10" s="33">
        <f>IFERROR(D10/B10, 0)</f>
        <v/>
      </c>
      <c r="G10" s="34" t="n">
        <v>1.38</v>
      </c>
      <c r="H10" s="35" t="n">
        <v>62.1</v>
      </c>
    </row>
    <row r="11">
      <c r="A11" s="22" t="inlineStr">
        <is>
          <t>TOTAL / OVERALL</t>
        </is>
      </c>
      <c r="B11" s="25">
        <f>SUM(B4:B10)</f>
        <v/>
      </c>
      <c r="C11" s="24" t="inlineStr">
        <is>
          <t>100.0%</t>
        </is>
      </c>
      <c r="D11" s="23">
        <f>SUM(D4:D10)</f>
        <v/>
      </c>
      <c r="E11" s="24" t="inlineStr">
        <is>
          <t>100.0%</t>
        </is>
      </c>
      <c r="F11" s="23">
        <f>AVERAGE(F4:F10)</f>
        <v/>
      </c>
      <c r="G11" s="42">
        <f>AVERAGE(G4:G10)</f>
        <v/>
      </c>
      <c r="H11" s="43">
        <f>AVERAGE(H4:H10)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40" customWidth="1" min="4" max="4"/>
    <col width="22" customWidth="1" min="5" max="5"/>
    <col width="27" customWidth="1" min="6" max="6"/>
  </cols>
  <sheetData>
    <row r="1">
      <c r="A1" s="8" t="inlineStr">
        <is>
          <t>Veyra E-Commerce Data Warehouse — Metadata Dictionary</t>
        </is>
      </c>
    </row>
    <row r="2"/>
    <row r="3">
      <c r="A3" s="29" t="inlineStr">
        <is>
          <t>Field Name</t>
        </is>
      </c>
      <c r="B3" s="29" t="inlineStr">
        <is>
          <t>Table / Entity</t>
        </is>
      </c>
      <c r="C3" s="29" t="inlineStr">
        <is>
          <t>Data Type</t>
        </is>
      </c>
      <c r="D3" s="29" t="inlineStr">
        <is>
          <t>Business Definition</t>
        </is>
      </c>
      <c r="E3" s="29" t="inlineStr">
        <is>
          <t>Calculated / Source</t>
        </is>
      </c>
      <c r="F3" s="29" t="inlineStr">
        <is>
          <t>Example Value</t>
        </is>
      </c>
    </row>
    <row r="4">
      <c r="A4" s="13" t="inlineStr">
        <is>
          <t>CustomerID</t>
        </is>
      </c>
      <c r="B4" s="13" t="inlineStr">
        <is>
          <t>DimCustomer</t>
        </is>
      </c>
      <c r="C4" s="13" t="inlineStr">
        <is>
          <t>INT</t>
        </is>
      </c>
      <c r="D4" s="13" t="inlineStr">
        <is>
          <t>Unique surrogate / business identifier for customer</t>
        </is>
      </c>
      <c r="E4" s="13" t="inlineStr">
        <is>
          <t>Source</t>
        </is>
      </c>
      <c r="F4" s="13" t="inlineStr">
        <is>
          <t>10482</t>
        </is>
      </c>
    </row>
    <row r="5">
      <c r="A5" s="18" t="inlineStr">
        <is>
          <t>CustomerName</t>
        </is>
      </c>
      <c r="B5" s="18" t="inlineStr">
        <is>
          <t>DimCustomer</t>
        </is>
      </c>
      <c r="C5" s="18" t="inlineStr">
        <is>
          <t>VARCHAR(150)</t>
        </is>
      </c>
      <c r="D5" s="18" t="inlineStr">
        <is>
          <t>Full legal name of customer</t>
        </is>
      </c>
      <c r="E5" s="18" t="inlineStr">
        <is>
          <t>Source</t>
        </is>
      </c>
      <c r="F5" s="18" t="inlineStr">
        <is>
          <t>Sophia Miller</t>
        </is>
      </c>
    </row>
    <row r="6">
      <c r="A6" s="13" t="inlineStr">
        <is>
          <t>SignupDate</t>
        </is>
      </c>
      <c r="B6" s="13" t="inlineStr">
        <is>
          <t>DimCustomer</t>
        </is>
      </c>
      <c r="C6" s="13" t="inlineStr">
        <is>
          <t>DATE</t>
        </is>
      </c>
      <c r="D6" s="13" t="inlineStr">
        <is>
          <t>Date customer created Veyra store account</t>
        </is>
      </c>
      <c r="E6" s="13" t="inlineStr">
        <is>
          <t>Source</t>
        </is>
      </c>
      <c r="F6" s="13" t="inlineStr">
        <is>
          <t>2022-03-15</t>
        </is>
      </c>
    </row>
    <row r="7">
      <c r="A7" s="18" t="inlineStr">
        <is>
          <t>Region</t>
        </is>
      </c>
      <c r="B7" s="18" t="inlineStr">
        <is>
          <t>DimLocation</t>
        </is>
      </c>
      <c r="C7" s="18" t="inlineStr">
        <is>
          <t>VARCHAR(50)</t>
        </is>
      </c>
      <c r="D7" s="18" t="inlineStr">
        <is>
          <t>Global operational market territory</t>
        </is>
      </c>
      <c r="E7" s="18" t="inlineStr">
        <is>
          <t>Source</t>
        </is>
      </c>
      <c r="F7" s="18" t="inlineStr">
        <is>
          <t>North America</t>
        </is>
      </c>
    </row>
    <row r="8">
      <c r="A8" s="13" t="inlineStr">
        <is>
          <t>AcquisitionChannel</t>
        </is>
      </c>
      <c r="B8" s="13" t="inlineStr">
        <is>
          <t>DimCustomer</t>
        </is>
      </c>
      <c r="C8" s="13" t="inlineStr">
        <is>
          <t>VARCHAR(50)</t>
        </is>
      </c>
      <c r="D8" s="13" t="inlineStr">
        <is>
          <t>Marketing channel attributed to first acquisition</t>
        </is>
      </c>
      <c r="E8" s="13" t="inlineStr">
        <is>
          <t>Source</t>
        </is>
      </c>
      <c r="F8" s="13" t="inlineStr">
        <is>
          <t>Paid Search</t>
        </is>
      </c>
    </row>
    <row r="9">
      <c r="A9" s="18" t="inlineStr">
        <is>
          <t>ProductID</t>
        </is>
      </c>
      <c r="B9" s="18" t="inlineStr">
        <is>
          <t>DimProduct</t>
        </is>
      </c>
      <c r="C9" s="18" t="inlineStr">
        <is>
          <t>INT</t>
        </is>
      </c>
      <c r="D9" s="18" t="inlineStr">
        <is>
          <t>Unique product catalog identifier</t>
        </is>
      </c>
      <c r="E9" s="18" t="inlineStr">
        <is>
          <t>Source</t>
        </is>
      </c>
      <c r="F9" s="18" t="inlineStr">
        <is>
          <t>452</t>
        </is>
      </c>
    </row>
    <row r="10">
      <c r="A10" s="13" t="inlineStr">
        <is>
          <t>ProductName</t>
        </is>
      </c>
      <c r="B10" s="13" t="inlineStr">
        <is>
          <t>DimProduct</t>
        </is>
      </c>
      <c r="C10" s="13" t="inlineStr">
        <is>
          <t>VARCHAR(200)</t>
        </is>
      </c>
      <c r="D10" s="13" t="inlineStr">
        <is>
          <t>Commercial product title and model designation</t>
        </is>
      </c>
      <c r="E10" s="13" t="inlineStr">
        <is>
          <t>Source</t>
        </is>
      </c>
      <c r="F10" s="13" t="inlineStr">
        <is>
          <t>Sony 4K OLED Monitor Pro</t>
        </is>
      </c>
    </row>
    <row r="11">
      <c r="A11" s="18" t="inlineStr">
        <is>
          <t>CategoryID</t>
        </is>
      </c>
      <c r="B11" s="18" t="inlineStr">
        <is>
          <t>DimCategory</t>
        </is>
      </c>
      <c r="C11" s="18" t="inlineStr">
        <is>
          <t>INT</t>
        </is>
      </c>
      <c r="D11" s="18" t="inlineStr">
        <is>
          <t>Foreign key linking product to category hierarchy</t>
        </is>
      </c>
      <c r="E11" s="18" t="inlineStr">
        <is>
          <t>Source</t>
        </is>
      </c>
      <c r="F11" s="18" t="inlineStr">
        <is>
          <t>1</t>
        </is>
      </c>
    </row>
    <row r="12">
      <c r="A12" s="13" t="inlineStr">
        <is>
          <t>UnitCost</t>
        </is>
      </c>
      <c r="B12" s="13" t="inlineStr">
        <is>
          <t>DimProduct</t>
        </is>
      </c>
      <c r="C12" s="13" t="inlineStr">
        <is>
          <t>DECIMAL(18,2)</t>
        </is>
      </c>
      <c r="D12" s="13" t="inlineStr">
        <is>
          <t>Procurement / manufacturing cost per unit</t>
        </is>
      </c>
      <c r="E12" s="13" t="inlineStr">
        <is>
          <t>Source</t>
        </is>
      </c>
      <c r="F12" s="13" t="inlineStr">
        <is>
          <t>240.00</t>
        </is>
      </c>
    </row>
    <row r="13">
      <c r="A13" s="18" t="inlineStr">
        <is>
          <t>UnitPrice</t>
        </is>
      </c>
      <c r="B13" s="18" t="inlineStr">
        <is>
          <t>DimProduct</t>
        </is>
      </c>
      <c r="C13" s="18" t="inlineStr">
        <is>
          <t>DECIMAL(18,2)</t>
        </is>
      </c>
      <c r="D13" s="18" t="inlineStr">
        <is>
          <t>Base list price per unit before discounts</t>
        </is>
      </c>
      <c r="E13" s="18" t="inlineStr">
        <is>
          <t>Source</t>
        </is>
      </c>
      <c r="F13" s="18" t="inlineStr">
        <is>
          <t>349.99</t>
        </is>
      </c>
    </row>
    <row r="14">
      <c r="A14" s="13" t="inlineStr">
        <is>
          <t>OrderID</t>
        </is>
      </c>
      <c r="B14" s="13" t="inlineStr">
        <is>
          <t>FactSales</t>
        </is>
      </c>
      <c r="C14" s="13" t="inlineStr">
        <is>
          <t>INT</t>
        </is>
      </c>
      <c r="D14" s="13" t="inlineStr">
        <is>
          <t>Unique transaction order header reference</t>
        </is>
      </c>
      <c r="E14" s="13" t="inlineStr">
        <is>
          <t>Source</t>
        </is>
      </c>
      <c r="F14" s="13" t="inlineStr">
        <is>
          <t>291845</t>
        </is>
      </c>
    </row>
    <row r="15">
      <c r="A15" s="18" t="inlineStr">
        <is>
          <t>OrderDate</t>
        </is>
      </c>
      <c r="B15" s="18" t="inlineStr">
        <is>
          <t>FactSales</t>
        </is>
      </c>
      <c r="C15" s="18" t="inlineStr">
        <is>
          <t>DATE</t>
        </is>
      </c>
      <c r="D15" s="18" t="inlineStr">
        <is>
          <t>Calendar date on which order was placed</t>
        </is>
      </c>
      <c r="E15" s="18" t="inlineStr">
        <is>
          <t>Source</t>
        </is>
      </c>
      <c r="F15" s="18" t="inlineStr">
        <is>
          <t>2023-11-24</t>
        </is>
      </c>
    </row>
    <row r="16">
      <c r="A16" s="13" t="inlineStr">
        <is>
          <t>OrderStatus</t>
        </is>
      </c>
      <c r="B16" s="13" t="inlineStr">
        <is>
          <t>FactSales</t>
        </is>
      </c>
      <c r="C16" s="13" t="inlineStr">
        <is>
          <t>VARCHAR(30)</t>
        </is>
      </c>
      <c r="D16" s="13" t="inlineStr">
        <is>
          <t>Lifecycle status of order (Delivered, Cancelled, Returned, Pending)</t>
        </is>
      </c>
      <c r="E16" s="13" t="inlineStr">
        <is>
          <t>Source</t>
        </is>
      </c>
      <c r="F16" s="13" t="inlineStr">
        <is>
          <t>Delivered</t>
        </is>
      </c>
    </row>
    <row r="17">
      <c r="A17" s="18" t="inlineStr">
        <is>
          <t>Quantity</t>
        </is>
      </c>
      <c r="B17" s="18" t="inlineStr">
        <is>
          <t>FactSales</t>
        </is>
      </c>
      <c r="C17" s="18" t="inlineStr">
        <is>
          <t>INT</t>
        </is>
      </c>
      <c r="D17" s="18" t="inlineStr">
        <is>
          <t>Count of product units ordered in specific line item</t>
        </is>
      </c>
      <c r="E17" s="18" t="inlineStr">
        <is>
          <t>Source</t>
        </is>
      </c>
      <c r="F17" s="18" t="inlineStr">
        <is>
          <t>2</t>
        </is>
      </c>
    </row>
    <row r="18">
      <c r="A18" s="13" t="inlineStr">
        <is>
          <t>DiscountAmount</t>
        </is>
      </c>
      <c r="B18" s="13" t="inlineStr">
        <is>
          <t>FactSales</t>
        </is>
      </c>
      <c r="C18" s="13" t="inlineStr">
        <is>
          <t>DECIMAL(18,2)</t>
        </is>
      </c>
      <c r="D18" s="13" t="inlineStr">
        <is>
          <t>Promotional or coupon markdown applied to line</t>
        </is>
      </c>
      <c r="E18" s="13" t="inlineStr">
        <is>
          <t>Calculated</t>
        </is>
      </c>
      <c r="F18" s="13" t="inlineStr">
        <is>
          <t>35.00</t>
        </is>
      </c>
    </row>
    <row r="19">
      <c r="A19" s="18" t="inlineStr">
        <is>
          <t>SalesAmount</t>
        </is>
      </c>
      <c r="B19" s="18" t="inlineStr">
        <is>
          <t>FactSales</t>
        </is>
      </c>
      <c r="C19" s="18" t="inlineStr">
        <is>
          <t>DECIMAL(18,2)</t>
        </is>
      </c>
      <c r="D19" s="18" t="inlineStr">
        <is>
          <t>Net revenue realized: Quantity * UnitPrice - Discount</t>
        </is>
      </c>
      <c r="E19" s="18" t="inlineStr">
        <is>
          <t>Calculated</t>
        </is>
      </c>
      <c r="F19" s="18" t="inlineStr">
        <is>
          <t>664.98</t>
        </is>
      </c>
    </row>
    <row r="20">
      <c r="A20" s="13" t="inlineStr">
        <is>
          <t>CostAmount</t>
        </is>
      </c>
      <c r="B20" s="13" t="inlineStr">
        <is>
          <t>FactSales</t>
        </is>
      </c>
      <c r="C20" s="13" t="inlineStr">
        <is>
          <t>DECIMAL(18,2)</t>
        </is>
      </c>
      <c r="D20" s="13" t="inlineStr">
        <is>
          <t>Total product cost: Quantity * UnitCost</t>
        </is>
      </c>
      <c r="E20" s="13" t="inlineStr">
        <is>
          <t>Calculated</t>
        </is>
      </c>
      <c r="F20" s="13" t="inlineStr">
        <is>
          <t>480.00</t>
        </is>
      </c>
    </row>
    <row r="21">
      <c r="A21" s="18" t="inlineStr">
        <is>
          <t>ProfitAmount</t>
        </is>
      </c>
      <c r="B21" s="18" t="inlineStr">
        <is>
          <t>FactSales</t>
        </is>
      </c>
      <c r="C21" s="18" t="inlineStr">
        <is>
          <t>DECIMAL(18,2)</t>
        </is>
      </c>
      <c r="D21" s="18" t="inlineStr">
        <is>
          <t>Gross profit contribution: SalesAmount - CostAmount</t>
        </is>
      </c>
      <c r="E21" s="18" t="inlineStr">
        <is>
          <t>Calculated</t>
        </is>
      </c>
      <c r="F21" s="18" t="inlineStr">
        <is>
          <t>184.98</t>
        </is>
      </c>
    </row>
    <row r="22">
      <c r="A22" s="13" t="inlineStr">
        <is>
          <t>ReturnID</t>
        </is>
      </c>
      <c r="B22" s="13" t="inlineStr">
        <is>
          <t>FactReturns</t>
        </is>
      </c>
      <c r="C22" s="13" t="inlineStr">
        <is>
          <t>INT</t>
        </is>
      </c>
      <c r="D22" s="13" t="inlineStr">
        <is>
          <t>Unique merchandise return authorization ID</t>
        </is>
      </c>
      <c r="E22" s="13" t="inlineStr">
        <is>
          <t>Source</t>
        </is>
      </c>
      <c r="F22" s="13" t="inlineStr">
        <is>
          <t>14820</t>
        </is>
      </c>
    </row>
    <row r="23">
      <c r="A23" s="18" t="inlineStr">
        <is>
          <t>ReturnAmount</t>
        </is>
      </c>
      <c r="B23" s="18" t="inlineStr">
        <is>
          <t>FactReturns</t>
        </is>
      </c>
      <c r="C23" s="18" t="inlineStr">
        <is>
          <t>DECIMAL(18,2)</t>
        </is>
      </c>
      <c r="D23" s="18" t="inlineStr">
        <is>
          <t>Monetary refund value credited back to customer</t>
        </is>
      </c>
      <c r="E23" s="18" t="inlineStr">
        <is>
          <t>Calculated</t>
        </is>
      </c>
      <c r="F23" s="18" t="inlineStr">
        <is>
          <t>349.99</t>
        </is>
      </c>
    </row>
    <row r="24">
      <c r="A24" s="13" t="inlineStr">
        <is>
          <t>ReturnReason</t>
        </is>
      </c>
      <c r="B24" s="13" t="inlineStr">
        <is>
          <t>FactReturns</t>
        </is>
      </c>
      <c r="C24" s="13" t="inlineStr">
        <is>
          <t>VARCHAR(100)</t>
        </is>
      </c>
      <c r="D24" s="13" t="inlineStr">
        <is>
          <t>Customer stated reason for return</t>
        </is>
      </c>
      <c r="E24" s="13" t="inlineStr">
        <is>
          <t>Source</t>
        </is>
      </c>
      <c r="F24" s="13" t="inlineStr">
        <is>
          <t>Size Issue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31" customWidth="1" min="4" max="4"/>
    <col width="40" customWidth="1" min="5" max="5"/>
  </cols>
  <sheetData>
    <row r="1">
      <c r="A1" s="8" t="inlineStr">
        <is>
          <t>Veyra Business Metric Formulations &amp; Analytical Standards</t>
        </is>
      </c>
    </row>
    <row r="2"/>
    <row r="3">
      <c r="A3" s="29" t="inlineStr">
        <is>
          <t>Metric Name</t>
        </is>
      </c>
      <c r="B3" s="29" t="inlineStr">
        <is>
          <t>Business Domain</t>
        </is>
      </c>
      <c r="C3" s="29" t="inlineStr">
        <is>
          <t>Mathematical Formulation</t>
        </is>
      </c>
      <c r="D3" s="29" t="inlineStr">
        <is>
          <t>Excel Formula Implementation</t>
        </is>
      </c>
      <c r="E3" s="29" t="inlineStr">
        <is>
          <t>Strategic Business Meaning</t>
        </is>
      </c>
    </row>
    <row r="4">
      <c r="A4" s="30" t="inlineStr">
        <is>
          <t>Total Revenue</t>
        </is>
      </c>
      <c r="B4" s="13" t="inlineStr">
        <is>
          <t>Sales Performance</t>
        </is>
      </c>
      <c r="C4" s="13" t="inlineStr">
        <is>
          <t>SUM(SalesAmount)</t>
        </is>
      </c>
      <c r="D4" s="13">
        <f>SUM(Sales[SalesAmount])</f>
        <v/>
      </c>
      <c r="E4" s="13" t="inlineStr">
        <is>
          <t>Net top-line revenue after all promotional and order-level discounts.</t>
        </is>
      </c>
    </row>
    <row r="5">
      <c r="A5" s="36" t="inlineStr">
        <is>
          <t>Total Profit</t>
        </is>
      </c>
      <c r="B5" s="18" t="inlineStr">
        <is>
          <t>Profitability</t>
        </is>
      </c>
      <c r="C5" s="18" t="inlineStr">
        <is>
          <t>SUM(ProfitAmount)</t>
        </is>
      </c>
      <c r="D5" s="18">
        <f>SUM(Sales[ProfitAmount])</f>
        <v/>
      </c>
      <c r="E5" s="18" t="inlineStr">
        <is>
          <t>Gross profit contribution margin after subtracting direct product cost of goods sold.</t>
        </is>
      </c>
    </row>
    <row r="6">
      <c r="A6" s="30" t="inlineStr">
        <is>
          <t>Gross Profit Margin %</t>
        </is>
      </c>
      <c r="B6" s="13" t="inlineStr">
        <is>
          <t>Profitability</t>
        </is>
      </c>
      <c r="C6" s="13" t="inlineStr">
        <is>
          <t>Total Profit / Total Revenue</t>
        </is>
      </c>
      <c r="D6" s="13">
        <f>TotalProfit / TotalRevenue</f>
        <v/>
      </c>
      <c r="E6" s="13" t="inlineStr">
        <is>
          <t>Operational pricing efficiency; percentage of top-line revenue retained as gross profit.</t>
        </is>
      </c>
    </row>
    <row r="7">
      <c r="A7" s="36" t="inlineStr">
        <is>
          <t>Average Order Value (AOV)</t>
        </is>
      </c>
      <c r="B7" s="18" t="inlineStr">
        <is>
          <t>Sales Performance</t>
        </is>
      </c>
      <c r="C7" s="18" t="inlineStr">
        <is>
          <t>Total Revenue / COUNT(DISTINCT OrderID)</t>
        </is>
      </c>
      <c r="D7" s="18">
        <f>AVERAGE(Orders[TotalAmount])</f>
        <v/>
      </c>
      <c r="E7" s="18" t="inlineStr">
        <is>
          <t>Average financial spend per customer purchase transaction.</t>
        </is>
      </c>
    </row>
    <row r="8">
      <c r="A8" s="30" t="inlineStr">
        <is>
          <t>Repeat Customer Rate</t>
        </is>
      </c>
      <c r="B8" s="13" t="inlineStr">
        <is>
          <t>Customer Retention</t>
        </is>
      </c>
      <c r="C8" s="13" t="inlineStr">
        <is>
          <t>COUNT(Customers with Orders &gt; 1) / Total Customers</t>
        </is>
      </c>
      <c r="D8" s="13">
        <f>COUNTIF(CustOrders, '&gt;1') / TotalCust</f>
        <v/>
      </c>
      <c r="E8" s="13" t="inlineStr">
        <is>
          <t>Proportion of active buyer base that returned to make 2 or more lifetime orders.</t>
        </is>
      </c>
    </row>
    <row r="9">
      <c r="A9" s="36" t="inlineStr">
        <is>
          <t>Line-Item Return Rate</t>
        </is>
      </c>
      <c r="B9" s="18" t="inlineStr">
        <is>
          <t>Quality &amp; Logistics</t>
        </is>
      </c>
      <c r="C9" s="18" t="inlineStr">
        <is>
          <t>COUNT(Returns) / COUNT(Sales Lines)</t>
        </is>
      </c>
      <c r="D9" s="18">
        <f>COUNT(Returns[ReturnID]) / COUNT(Sales[SalesID])</f>
        <v/>
      </c>
      <c r="E9" s="18" t="inlineStr">
        <is>
          <t>Frequency of product returns impacting supply chain processing and fulfillment costs.</t>
        </is>
      </c>
    </row>
    <row r="10">
      <c r="A10" s="30" t="inlineStr">
        <is>
          <t>Recency (RFM)</t>
        </is>
      </c>
      <c r="B10" s="13" t="inlineStr">
        <is>
          <t>Customer Behavior</t>
        </is>
      </c>
      <c r="C10" s="13" t="inlineStr">
        <is>
          <t>Reference Date - Max(Customer OrderDate)</t>
        </is>
      </c>
      <c r="D10" s="13">
        <f>TODAY() - MaxOrderDate</f>
        <v/>
      </c>
      <c r="E10" s="13" t="inlineStr">
        <is>
          <t>Days elapsed since customer last completed a transaction (lower is more active).</t>
        </is>
      </c>
    </row>
    <row r="11">
      <c r="A11" s="36" t="inlineStr">
        <is>
          <t>Frequency (RFM)</t>
        </is>
      </c>
      <c r="B11" s="18" t="inlineStr">
        <is>
          <t>Customer Behavior</t>
        </is>
      </c>
      <c r="C11" s="18" t="inlineStr">
        <is>
          <t>COUNT(DISTINCT OrderID) per Customer</t>
        </is>
      </c>
      <c r="D11" s="18">
        <f>COUNTIFS(Orders[CustomerID], CustID)</f>
        <v/>
      </c>
      <c r="E11" s="18" t="inlineStr">
        <is>
          <t>Lifetime purchase velocity indicating brand engagement and loyalty.</t>
        </is>
      </c>
    </row>
    <row r="12">
      <c r="A12" s="30" t="inlineStr">
        <is>
          <t>Monetary (RFM)</t>
        </is>
      </c>
      <c r="B12" s="13" t="inlineStr">
        <is>
          <t>Customer Behavior</t>
        </is>
      </c>
      <c r="C12" s="13" t="inlineStr">
        <is>
          <t>SUM(SalesAmount) per Customer</t>
        </is>
      </c>
      <c r="D12" s="13">
        <f>SUMIFS(Sales[SalesAmount], Sales[CustID], CustID)</f>
        <v/>
      </c>
      <c r="E12" s="13" t="inlineStr">
        <is>
          <t>Total lifetime historical financial revenue generated by customer.</t>
        </is>
      </c>
    </row>
    <row r="13">
      <c r="A13" s="36" t="inlineStr">
        <is>
          <t>Revenue at Risk</t>
        </is>
      </c>
      <c r="B13" s="18" t="inlineStr">
        <is>
          <t>Customer Retention</t>
        </is>
      </c>
      <c r="C13" s="18" t="inlineStr">
        <is>
          <t>SUM(Revenue of Customers where ChurnRisk = 'High Risk')</t>
        </is>
      </c>
      <c r="D13" s="18">
        <f>SUMIF(ChurnRisk, 'High Risk', Revenue)</f>
        <v/>
      </c>
      <c r="E13" s="18" t="inlineStr">
        <is>
          <t>Top-line revenue currently at hazard due to dormant or lapsed customer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2026-09-11T09:02:14Z</dcterms:created>
  <dcterms:modified xsi:type="dcterms:W3CDTF">2026-09-11T09:02:17Z</dcterms:modified>
</cp:coreProperties>
</file>